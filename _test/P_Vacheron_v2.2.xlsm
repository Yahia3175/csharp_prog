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vid\code\macro\Luxe\Vacheron\2025 W1\"/>
    </mc:Choice>
  </mc:AlternateContent>
  <xr:revisionPtr revIDLastSave="0" documentId="13_ncr:1_{55E01991-BB38-4A9C-A70A-D7DF28EA041E}" xr6:coauthVersionLast="47" xr6:coauthVersionMax="47" xr10:uidLastSave="{00000000-0000-0000-0000-000000000000}"/>
  <bookViews>
    <workbookView xWindow="-28920" yWindow="-120" windowWidth="29040" windowHeight="17640" tabRatio="723" xr2:uid="{00000000-000D-0000-FFFF-FFFF00000000}"/>
  </bookViews>
  <sheets>
    <sheet name="Accueil" sheetId="4" r:id="rId1"/>
    <sheet name="Options" sheetId="10" r:id="rId2"/>
    <sheet name="REF Region" sheetId="14" r:id="rId3"/>
    <sheet name="REF Country" sheetId="16" r:id="rId4"/>
    <sheet name="REF Store" sheetId="17" r:id="rId5"/>
    <sheet name="Erreur" sheetId="5" r:id="rId6"/>
    <sheet name="C_Instore_Region" sheetId="18" r:id="rId7"/>
    <sheet name="C_All_Zone" sheetId="15" r:id="rId8"/>
  </sheets>
  <functionGroups builtInGroupCount="19"/>
  <definedNames>
    <definedName name="_xlnm._FilterDatabase" localSheetId="7" hidden="1">C_All_Zone!$A$1:$R$181</definedName>
    <definedName name="_xlnm._FilterDatabase" localSheetId="6" hidden="1">C_Instore_Region!$A$1:$R$84</definedName>
    <definedName name="_xlnm._FilterDatabase" localSheetId="4" hidden="1">'REF Store'!$A$1:$BC$1</definedName>
    <definedName name="ANNEE" localSheetId="0">Accueil!$B$5</definedName>
    <definedName name="FILE_PROG" localSheetId="0">Accueil!$B$10</definedName>
    <definedName name="mDebug">Accueil!$D$13</definedName>
    <definedName name="PATH_FILE" localSheetId="0">Accueil!$B$6</definedName>
    <definedName name="SAPBEXdnldView" hidden="1">"4M8D7IDLTHDYTBF5NYA5G04UE"</definedName>
    <definedName name="SAPBEXsysID" hidden="1">"EB8"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4" l="1"/>
  <c r="B7" i="4"/>
  <c r="B5" i="4" l="1"/>
  <c r="E13" i="4"/>
</calcChain>
</file>

<file path=xl/sharedStrings.xml><?xml version="1.0" encoding="utf-8"?>
<sst xmlns="http://schemas.openxmlformats.org/spreadsheetml/2006/main" count="3170" uniqueCount="811">
  <si>
    <t>Total</t>
  </si>
  <si>
    <t>Durée</t>
  </si>
  <si>
    <t>Start</t>
  </si>
  <si>
    <t>Path output</t>
  </si>
  <si>
    <t>Path and file model</t>
  </si>
  <si>
    <t>Fonction</t>
  </si>
  <si>
    <t>Description</t>
  </si>
  <si>
    <t>Id</t>
  </si>
  <si>
    <t>Path and file input</t>
  </si>
  <si>
    <t>Source</t>
  </si>
  <si>
    <t>initTools</t>
  </si>
  <si>
    <t>Nom ppt</t>
  </si>
  <si>
    <t>output</t>
  </si>
  <si>
    <t>TODO</t>
  </si>
  <si>
    <t>x</t>
  </si>
  <si>
    <t>Function</t>
  </si>
  <si>
    <t>Slide</t>
  </si>
  <si>
    <t>Shape</t>
  </si>
  <si>
    <t>Score</t>
  </si>
  <si>
    <t>Score2</t>
  </si>
  <si>
    <t>Score3</t>
  </si>
  <si>
    <t>Code</t>
  </si>
  <si>
    <t>Texte</t>
  </si>
  <si>
    <t>Texte2</t>
  </si>
  <si>
    <t>Texte3</t>
  </si>
  <si>
    <t>Texte4</t>
  </si>
  <si>
    <t>Mandatory</t>
  </si>
  <si>
    <t>funcGraph</t>
  </si>
  <si>
    <t>Name</t>
  </si>
  <si>
    <t>Score4</t>
  </si>
  <si>
    <t>funcEditTxt</t>
  </si>
  <si>
    <t>funcEditScore</t>
  </si>
  <si>
    <t>Score8</t>
  </si>
  <si>
    <t>Score7</t>
  </si>
  <si>
    <t>Score6</t>
  </si>
  <si>
    <t>Score5</t>
  </si>
  <si>
    <t>SO</t>
  </si>
  <si>
    <t>=</t>
  </si>
  <si>
    <t>-</t>
  </si>
  <si>
    <t>&gt;</t>
  </si>
  <si>
    <t>ONS</t>
  </si>
  <si>
    <t>TYPES DE QUESTIONS</t>
  </si>
  <si>
    <t>xx</t>
  </si>
  <si>
    <t>tab</t>
  </si>
  <si>
    <t>g1</t>
  </si>
  <si>
    <t>g2</t>
  </si>
  <si>
    <t>g3</t>
  </si>
  <si>
    <t>{s_qs|n|0|||^n^}</t>
  </si>
  <si>
    <t>UK</t>
  </si>
  <si>
    <t>Switzerland</t>
  </si>
  <si>
    <t>name</t>
  </si>
  <si>
    <t>EVOL</t>
  </si>
  <si>
    <t>&lt;</t>
  </si>
  <si>
    <t>tab2</t>
  </si>
  <si>
    <t>â</t>
  </si>
  <si>
    <t>è</t>
  </si>
  <si>
    <t>æ</t>
  </si>
  <si>
    <t>O</t>
  </si>
  <si>
    <t>P</t>
  </si>
  <si>
    <t>KW</t>
  </si>
  <si>
    <t>ww1</t>
  </si>
  <si>
    <t>ww2</t>
  </si>
  <si>
    <t>ww3</t>
  </si>
  <si>
    <t>{s_qs|evol||0|1|+|=|||^evol^}</t>
  </si>
  <si>
    <t>nb1</t>
  </si>
  <si>
    <t>nb2</t>
  </si>
  <si>
    <t>{s_qs|%|N/A|0|1|^%^%}</t>
  </si>
  <si>
    <t>Vacheron</t>
  </si>
  <si>
    <t>{s_qs|nb|0|||^nb^}</t>
  </si>
  <si>
    <t>e1|ww</t>
  </si>
  <si>
    <t>e1|sc</t>
  </si>
  <si>
    <t>e1|evol</t>
  </si>
  <si>
    <t>e1|vis</t>
  </si>
  <si>
    <t>{s_qs|n|0 visit| visit| visits|^n^}</t>
  </si>
  <si>
    <t>;EVOL</t>
  </si>
  <si>
    <t>e2|ww</t>
  </si>
  <si>
    <t>e2|sc</t>
  </si>
  <si>
    <t>e2|evol</t>
  </si>
  <si>
    <t>e2|vis</t>
  </si>
  <si>
    <t>sc1</t>
  </si>
  <si>
    <t>sc2</t>
  </si>
  <si>
    <t>sc3</t>
  </si>
  <si>
    <t>ww4</t>
  </si>
  <si>
    <t>sc4</t>
  </si>
  <si>
    <t>g4</t>
  </si>
  <si>
    <t>ww5</t>
  </si>
  <si>
    <t>sc5</t>
  </si>
  <si>
    <t>g5</t>
  </si>
  <si>
    <t>{s_wel|%|N/A|0|1|^%^%}</t>
  </si>
  <si>
    <t>{s_sa|%|N/A|0|1|^%^%}</t>
  </si>
  <si>
    <t>{s_pbp|%|N/A|0|1|^%^%}</t>
  </si>
  <si>
    <t>{s_end|%|N/A|0|1|^%^%}</t>
  </si>
  <si>
    <t>{s_fu|%|N/A|0|1|^%^%}</t>
  </si>
  <si>
    <t>tab1</t>
  </si>
  <si>
    <t>;x;x;</t>
  </si>
  <si>
    <t>{r_q11|R%|N/A|0|100|x|1|^R%^%}</t>
  </si>
  <si>
    <t>{r_q12|R%|N/A|0|100|x|1|^R%^%}</t>
  </si>
  <si>
    <t>{r_q12|R%|N/A|0|100|x|6|^R%^%}</t>
  </si>
  <si>
    <t>{r_q12|R%|N/A|0|100|x|2|^R%^%}</t>
  </si>
  <si>
    <t>{r_q12|R%|N/A|0|100|x|3|^R%^%}</t>
  </si>
  <si>
    <t>{r_q12|R%|N/A|0|100|x|4|^R%^%}</t>
  </si>
  <si>
    <t>{r_q12|R%|N/A|0|100|x|5|^R%^%}</t>
  </si>
  <si>
    <t>{r_q44|R%|N/A|0|100|x|1|^R%^%}</t>
  </si>
  <si>
    <t>{s_qs|%||0|1|^%^%}</t>
  </si>
  <si>
    <t>{s_q42|%|N/A|0|1|^%^%}</t>
  </si>
  <si>
    <t>{s_q42|evol||0|1|+|=|||^evol^}</t>
  </si>
  <si>
    <t>{s_q53|%|N/A|0|1|^%^%}</t>
  </si>
  <si>
    <t>{s_q53|evol||0|1|+|=|||^evol^}</t>
  </si>
  <si>
    <t>%;SC</t>
  </si>
  <si>
    <t>SC</t>
  </si>
  <si>
    <t>&gt;=</t>
  </si>
  <si>
    <t>SEAsia</t>
  </si>
  <si>
    <t>Europe</t>
  </si>
  <si>
    <t>China</t>
  </si>
  <si>
    <t>NEAsia</t>
  </si>
  <si>
    <t>Korea</t>
  </si>
  <si>
    <t>Americas</t>
  </si>
  <si>
    <t>MEA</t>
  </si>
  <si>
    <t>Australia</t>
  </si>
  <si>
    <t>France</t>
  </si>
  <si>
    <t>Malaysia</t>
  </si>
  <si>
    <t>Singapore</t>
  </si>
  <si>
    <t>Thailand</t>
  </si>
  <si>
    <t>Canada</t>
  </si>
  <si>
    <t>Kuwait</t>
  </si>
  <si>
    <t>UAE</t>
  </si>
  <si>
    <t>i202306</t>
  </si>
  <si>
    <t>i202310</t>
  </si>
  <si>
    <t>i202311</t>
  </si>
  <si>
    <t>i202401</t>
  </si>
  <si>
    <t>i202402</t>
  </si>
  <si>
    <t>i202403</t>
  </si>
  <si>
    <t>Japan</t>
  </si>
  <si>
    <t>Hong Kong</t>
  </si>
  <si>
    <t>Macau</t>
  </si>
  <si>
    <t>Taiwan</t>
  </si>
  <si>
    <t>XX</t>
  </si>
  <si>
    <t>nb3</t>
  </si>
  <si>
    <t>nb4</t>
  </si>
  <si>
    <t>{s_q14|%|N/A|0|1|^%^%}</t>
  </si>
  <si>
    <t>{s_q14|evol||0|1|+|=|||^evol^}</t>
  </si>
  <si>
    <t>{r_q33|R%|N/A|0|100|x|1|^R%^%}</t>
  </si>
  <si>
    <t>sc2|nc</t>
  </si>
  <si>
    <t>sc1|nc</t>
  </si>
  <si>
    <t>CRC_h_h2_sc||Name||SCENARIO 1</t>
  </si>
  <si>
    <t>Instore_h_h2_sc||Name||SCENARIO 1</t>
  </si>
  <si>
    <t>Remote_h_h2_sc||Name||SCENARIO 1</t>
  </si>
  <si>
    <t>sc1|vis1</t>
  </si>
  <si>
    <t>sc1|vis2</t>
  </si>
  <si>
    <t>sc1|vis3</t>
  </si>
  <si>
    <t>sc2|vis1</t>
  </si>
  <si>
    <t>sc2|vis2</t>
  </si>
  <si>
    <t>sc2|vis3</t>
  </si>
  <si>
    <t>CRC_h_h2_sc||Name||SCENARIO 2</t>
  </si>
  <si>
    <t>Instore_h_h2_sc||Name||SCENARIO 2</t>
  </si>
  <si>
    <t>Remote_h_h2_sc||Name||SCENARIO 2</t>
  </si>
  <si>
    <t>CRC_h_h2_sc||Name||SCENARIO 2;Remote_h_h2_sc||Name||SCENARIO 2</t>
  </si>
  <si>
    <t>CRC_h_h2_sc||Name||SCENARIO 1;Remote_h_h2_sc||Name||SCENARIO 1</t>
  </si>
  <si>
    <t>name2</t>
  </si>
  <si>
    <t>Instore_sztt2_h2_sc||SCENARIO 1</t>
  </si>
  <si>
    <t>Instore_sztt2_h1_sc||SCENARIO 1||Name</t>
  </si>
  <si>
    <t>Instore_sztt2_h2_sc||SCENARIO 1||Name</t>
  </si>
  <si>
    <t>z1|ww</t>
  </si>
  <si>
    <t>z1|sc</t>
  </si>
  <si>
    <t>z1|evol</t>
  </si>
  <si>
    <t>z1|vis</t>
  </si>
  <si>
    <t>z2|ww</t>
  </si>
  <si>
    <t>z2|sc</t>
  </si>
  <si>
    <t>z2|evol</t>
  </si>
  <si>
    <t>z2|vis</t>
  </si>
  <si>
    <t>Instore_sztt2_h2_sc||SCENARIO 2</t>
  </si>
  <si>
    <t>Instore_sztt2_h2_sc||SCENARIO 2||Name</t>
  </si>
  <si>
    <t>Instore_sztt2_h1_sc||SCENARIO 2||Name</t>
  </si>
  <si>
    <t>i1|ww</t>
  </si>
  <si>
    <t>i1|sc</t>
  </si>
  <si>
    <t>i1|evol</t>
  </si>
  <si>
    <t>i1|vis</t>
  </si>
  <si>
    <t>i2|ww</t>
  </si>
  <si>
    <t>i2|sc</t>
  </si>
  <si>
    <t>i2|evol</t>
  </si>
  <si>
    <t>i2|vis</t>
  </si>
  <si>
    <t>Instore_stt2_h2_sc||SCENARIO 1||Internal Boutique</t>
  </si>
  <si>
    <t>Instore_sztt2_h2_sc||SCENARIO 1||Name||Internal Boutique</t>
  </si>
  <si>
    <t>Instore_sztt2_h1_sc||SCENARIO 1||Name||Internal Boutique</t>
  </si>
  <si>
    <t>Instore_stt2_h2_sc||SCENARIO 2||Internal Boutique</t>
  </si>
  <si>
    <t>Instore_sztt2_h2_sc||SCENARIO 2||Name||Internal Boutique</t>
  </si>
  <si>
    <t>Instore_sztt2_h1_sc||SCENARIO 2||Name||Internal Boutique</t>
  </si>
  <si>
    <t>Instore_stt2_h2_sc||SCENARIO 1||External Boutique</t>
  </si>
  <si>
    <t>Instore_sztt2_h2_sc||SCENARIO 1||Name||External Boutique</t>
  </si>
  <si>
    <t>Instore_sztt2_h1_sc||SCENARIO 1||Name||External Boutique</t>
  </si>
  <si>
    <t>Instore_stt2_h2_sc||SCENARIO 2||External Boutique</t>
  </si>
  <si>
    <t>Instore_sztt2_h2_sc||SCENARIO 2||Name||External Boutique</t>
  </si>
  <si>
    <t>Instore_sztt2_h1_sc||SCENARIO 2||Name||External Boutique</t>
  </si>
  <si>
    <t>w1|ww</t>
  </si>
  <si>
    <t>w1|sc</t>
  </si>
  <si>
    <t>w1|evol</t>
  </si>
  <si>
    <t>w1|vis</t>
  </si>
  <si>
    <t>w2|ww</t>
  </si>
  <si>
    <t>w2|sc</t>
  </si>
  <si>
    <t>w2|evol</t>
  </si>
  <si>
    <t>w2|vis</t>
  </si>
  <si>
    <t>Instore_stt2_h2_sc||SCENARIO 1||Multibrand</t>
  </si>
  <si>
    <t>Instore_sztt2_h2_sc||SCENARIO 1||Name||Multibrand</t>
  </si>
  <si>
    <t>Instore_sztt2_h1_sc||SCENARIO 1||Name||Multibrand</t>
  </si>
  <si>
    <t>ww|sc1</t>
  </si>
  <si>
    <t>ww|evol1</t>
  </si>
  <si>
    <t>ww|vis1</t>
  </si>
  <si>
    <t>Instore_sr_h2_sc||SCENARIO 1</t>
  </si>
  <si>
    <t>Instore_sr_h2_sc||SCENARIO 2</t>
  </si>
  <si>
    <t>Instore_sr_h2_sc||SCENARIO 1||Americas</t>
  </si>
  <si>
    <t>Instore_sr_h1_sc||SCENARIO 1||Americas</t>
  </si>
  <si>
    <t>Instore_sr_h2_sc||SCENARIO 1||Europe</t>
  </si>
  <si>
    <t>Instore_sr_h2_sc||SCENARIO 1||MEA</t>
  </si>
  <si>
    <t>Instore_sr_h2_sc||SCENARIO 1||NEAsia</t>
  </si>
  <si>
    <t>Instore_sr_h2_sc||SCENARIO 1||China</t>
  </si>
  <si>
    <t>Instore_sr_h2_sc||SCENARIO 1||SEAsia</t>
  </si>
  <si>
    <t>Instore_sr_h2_sc||SCENARIO 1||Japan</t>
  </si>
  <si>
    <t>Instore_sr_h2_sc||SCENARIO 1||Korea</t>
  </si>
  <si>
    <t>Instore_sr_h1_sc||SCENARIO 1||Europe</t>
  </si>
  <si>
    <t>Instore_sr_h1_sc||SCENARIO 2</t>
  </si>
  <si>
    <t>Instore_sr_h1_sc||SCENARIO 1||MEA</t>
  </si>
  <si>
    <t>Instore_sr_h1_sc||SCENARIO 1||NEAsia</t>
  </si>
  <si>
    <t>Instore_sr_h1_sc||SCENARIO 1||China</t>
  </si>
  <si>
    <t>Instore_sr_h1_sc||SCENARIO 1||SEAsia</t>
  </si>
  <si>
    <t>Instore_sr_h1_sc||SCENARIO 1||Japan</t>
  </si>
  <si>
    <t>Instore_sr_h1_sc||SCENARIO 1||Korea</t>
  </si>
  <si>
    <t>ame|sc1</t>
  </si>
  <si>
    <t>ame|evol1</t>
  </si>
  <si>
    <t>ame|vis1</t>
  </si>
  <si>
    <t>eu|sc1</t>
  </si>
  <si>
    <t>eu|evol1</t>
  </si>
  <si>
    <t>eu|vis1</t>
  </si>
  <si>
    <t>mea|sc1</t>
  </si>
  <si>
    <t>mea|evol1</t>
  </si>
  <si>
    <t>mea|vis1</t>
  </si>
  <si>
    <t>ne|sc1</t>
  </si>
  <si>
    <t>ne|evol1</t>
  </si>
  <si>
    <t>ne|vis1</t>
  </si>
  <si>
    <t>ch|sc1</t>
  </si>
  <si>
    <t>ch|evol1</t>
  </si>
  <si>
    <t>ch|vis1</t>
  </si>
  <si>
    <t>se|sc1</t>
  </si>
  <si>
    <t>se|evol1</t>
  </si>
  <si>
    <t>se|vis1</t>
  </si>
  <si>
    <t>jp|sc1</t>
  </si>
  <si>
    <t>jp|evol1</t>
  </si>
  <si>
    <t>jp|vis1</t>
  </si>
  <si>
    <t>kr|sc1</t>
  </si>
  <si>
    <t>kr|evol1</t>
  </si>
  <si>
    <t>kr|vis1</t>
  </si>
  <si>
    <t>ww|sc2</t>
  </si>
  <si>
    <t>ww|evol2</t>
  </si>
  <si>
    <t>ww|vis2</t>
  </si>
  <si>
    <t>ame|sc2</t>
  </si>
  <si>
    <t>Instore_sr_h2_sc||SCENARIO 2||Americas</t>
  </si>
  <si>
    <t>ame|evol2</t>
  </si>
  <si>
    <t>ame|vis2</t>
  </si>
  <si>
    <t>eu|sc2</t>
  </si>
  <si>
    <t>Instore_sr_h2_sc||SCENARIO 2||Europe</t>
  </si>
  <si>
    <t>eu|evol2</t>
  </si>
  <si>
    <t>eu|vis2</t>
  </si>
  <si>
    <t>mea|sc2</t>
  </si>
  <si>
    <t>Instore_sr_h2_sc||SCENARIO 2||MEA</t>
  </si>
  <si>
    <t>mea|evol2</t>
  </si>
  <si>
    <t>mea|vis2</t>
  </si>
  <si>
    <t>ne|sc2</t>
  </si>
  <si>
    <t>Instore_sr_h2_sc||SCENARIO 2||NEAsia</t>
  </si>
  <si>
    <t>ne|evol2</t>
  </si>
  <si>
    <t>ne|vis2</t>
  </si>
  <si>
    <t>ch|sc2</t>
  </si>
  <si>
    <t>Instore_sr_h2_sc||SCENARIO 2||China</t>
  </si>
  <si>
    <t>ch|evol2</t>
  </si>
  <si>
    <t>ch|vis2</t>
  </si>
  <si>
    <t>se|sc2</t>
  </si>
  <si>
    <t>Instore_sr_h2_sc||SCENARIO 2||SEAsia</t>
  </si>
  <si>
    <t>se|evol2</t>
  </si>
  <si>
    <t>se|vis2</t>
  </si>
  <si>
    <t>jp|sc2</t>
  </si>
  <si>
    <t>Instore_sr_h2_sc||SCENARIO 2||Japan</t>
  </si>
  <si>
    <t>jp|evol2</t>
  </si>
  <si>
    <t>jp|vis2</t>
  </si>
  <si>
    <t>kr|sc2</t>
  </si>
  <si>
    <t>Instore_sr_h2_sc||SCENARIO 2||Korea</t>
  </si>
  <si>
    <t>kr|evol2</t>
  </si>
  <si>
    <t>kr|vis2</t>
  </si>
  <si>
    <t>Instore_sr_h1_sc||SCENARIO 1</t>
  </si>
  <si>
    <t>Instore_sr_h1_sc||SCENARIO 2||Americas</t>
  </si>
  <si>
    <t>Instore_sr_h1_sc||SCENARIO 2||Europe</t>
  </si>
  <si>
    <t>Instore_sr_h1_sc||SCENARIO 2||MEA</t>
  </si>
  <si>
    <t>Instore_sr_h1_sc||SCENARIO 2||NEAsia</t>
  </si>
  <si>
    <t>Instore_sr_h1_sc||SCENARIO 2||China</t>
  </si>
  <si>
    <t>Instore_sr_h1_sc||SCENARIO 2||SEAsia</t>
  </si>
  <si>
    <t>Instore_sr_h1_sc||SCENARIO 2||Japan</t>
  </si>
  <si>
    <t>Instore_sr_h1_sc||SCENARIO 2||Korea</t>
  </si>
  <si>
    <t>funcTabRank2</t>
  </si>
  <si>
    <t>Instore_zss_h2_sc||Name</t>
  </si>
  <si>
    <t>{i_store_name|var||^var^}</t>
  </si>
  <si>
    <t>{i_type|var||^var^};{store|var||^var^}</t>
  </si>
  <si>
    <t>Instore_zss_h1_sc||Name</t>
  </si>
  <si>
    <t>q11|ww</t>
  </si>
  <si>
    <t>q11|sc</t>
  </si>
  <si>
    <t>q11|evol</t>
  </si>
  <si>
    <t>q12|ww</t>
  </si>
  <si>
    <t>q12|sc</t>
  </si>
  <si>
    <t>q12|evol</t>
  </si>
  <si>
    <t>q13|ww</t>
  </si>
  <si>
    <t>q13|sc</t>
  </si>
  <si>
    <t>q13|evol</t>
  </si>
  <si>
    <t>q14|ww</t>
  </si>
  <si>
    <t>q14|sc</t>
  </si>
  <si>
    <t>q14|evol</t>
  </si>
  <si>
    <t>q15|ww</t>
  </si>
  <si>
    <t>q15|sc</t>
  </si>
  <si>
    <t>q15|evol</t>
  </si>
  <si>
    <t>q16|ww</t>
  </si>
  <si>
    <t>q16|sc</t>
  </si>
  <si>
    <t>q16|evol</t>
  </si>
  <si>
    <t>Instore_sztt2_h2_txt||SCENARIO 1</t>
  </si>
  <si>
    <t>Instore_sztt2_h2_txt||SCENARIO 1||Name</t>
  </si>
  <si>
    <t>Instore_sztt2_h1_txt||SCENARIO 1||Name</t>
  </si>
  <si>
    <t>Instore_sztt2_h2_txt||SCENARIO 2</t>
  </si>
  <si>
    <t>Instore_sztt2_h2_txt||SCENARIO 2||Name</t>
  </si>
  <si>
    <t>Instore_sztt2_h1_txt||SCENARIO 2||Name</t>
  </si>
  <si>
    <t>q21|ww</t>
  </si>
  <si>
    <t>q21|sc</t>
  </si>
  <si>
    <t>q21|evol</t>
  </si>
  <si>
    <t>q22|ww</t>
  </si>
  <si>
    <t>q22|sc</t>
  </si>
  <si>
    <t>q22|evol</t>
  </si>
  <si>
    <t>q23|ww</t>
  </si>
  <si>
    <t>q23|sc</t>
  </si>
  <si>
    <t>q23|evol</t>
  </si>
  <si>
    <t>q24|ww</t>
  </si>
  <si>
    <t>q24|sc</t>
  </si>
  <si>
    <t>q24|evol</t>
  </si>
  <si>
    <t>q25|ww</t>
  </si>
  <si>
    <t>q25|sc</t>
  </si>
  <si>
    <t>q25|evol</t>
  </si>
  <si>
    <t>q26|ww</t>
  </si>
  <si>
    <t>q26|sc</t>
  </si>
  <si>
    <t>q26|evol</t>
  </si>
  <si>
    <t>q31|ww</t>
  </si>
  <si>
    <t>q31|sc</t>
  </si>
  <si>
    <t>q31|evol</t>
  </si>
  <si>
    <t>q32|ww</t>
  </si>
  <si>
    <t>q32|sc</t>
  </si>
  <si>
    <t>q32|evol</t>
  </si>
  <si>
    <t>q1|ww</t>
  </si>
  <si>
    <t>q1|sc</t>
  </si>
  <si>
    <t>q1|evol</t>
  </si>
  <si>
    <t>q2|ww</t>
  </si>
  <si>
    <t>q2|sc</t>
  </si>
  <si>
    <t>q2|evol</t>
  </si>
  <si>
    <t>{r_q12|R%E||0|100|x|6|+|=|||^R%E^}</t>
  </si>
  <si>
    <t>{r_q12|R%E||0|100|x|1|+|=|||^R%E^}</t>
  </si>
  <si>
    <t>{r_q12|R%E||0|100|x|2|+|=|||^R%E^}</t>
  </si>
  <si>
    <t>{r_q12|R%E||0|100|x|3|+|=|||^R%E^}</t>
  </si>
  <si>
    <t>{r_q12|R%E||0|100|x|4|+|=|||^R%E^}</t>
  </si>
  <si>
    <t>{r_q12|R%E||0|100|x|5|+|=|||^R%E^}</t>
  </si>
  <si>
    <t>{r_q11|R%E||0|100|x|1|+|=|||^R%E^}</t>
  </si>
  <si>
    <t>{r_q44|R%E||0|100|x|1|+|=|||^R%E^}</t>
  </si>
  <si>
    <t>{r_q33a|R%|N/A|0|100|x|1|^R%^%}</t>
  </si>
  <si>
    <t>{r_q33a|R%E||0|100|x|1|+|=|||^R%E^}</t>
  </si>
  <si>
    <t>q41|ww</t>
  </si>
  <si>
    <t>q41|sc</t>
  </si>
  <si>
    <t>q41|evol</t>
  </si>
  <si>
    <t>q42|ww</t>
  </si>
  <si>
    <t>q42|sc</t>
  </si>
  <si>
    <t>q42|evol</t>
  </si>
  <si>
    <t>q51|ww</t>
  </si>
  <si>
    <t>q51|sc</t>
  </si>
  <si>
    <t>q51|evol</t>
  </si>
  <si>
    <t>q52|ww</t>
  </si>
  <si>
    <t>q52|sc</t>
  </si>
  <si>
    <t>q52|evol</t>
  </si>
  <si>
    <t>{r_q33|R%E||0|100|x|1|+|=|||^R%E^}</t>
  </si>
  <si>
    <t>funcTabRank3</t>
  </si>
  <si>
    <t>funcTabColor</t>
  </si>
  <si>
    <t>%</t>
  </si>
  <si>
    <t>{s_qs|%||0|1|^%^}</t>
  </si>
  <si>
    <t>rank;{i_store_name|var||^var^};{i_subzone|var||^var^};{i_country|var||^var^};{store|var||^var^};{s_qs|%||0|1|^%^%}</t>
  </si>
  <si>
    <t>Instore_szs_h2_sc||SCENARIO 1||Name</t>
  </si>
  <si>
    <t>x-Instore_szs_h2_sc||SCENARIO 2||Name;Remote_zs_h2_sc||Name;Instore_zs_h1_sc||Name;Remote_zs_h1_sc||Name</t>
  </si>
  <si>
    <t>;x;;</t>
  </si>
  <si>
    <t>Instore_stt2_h2_sc||SCENARIO 1||Multibrand||Multibrand TimeVallee</t>
  </si>
  <si>
    <t>Instore_sztt2_h2_sc||SCENARIO 1||Name||Multibrand||Multibrand TimeVallee</t>
  </si>
  <si>
    <t>Instore_sztt2_h1_sc||SCENARIO 1||Name||Multibrand||Multibrand TimeVallee</t>
  </si>
  <si>
    <t>ii202306</t>
  </si>
  <si>
    <t>ii202310</t>
  </si>
  <si>
    <t>ii202311</t>
  </si>
  <si>
    <t>ii202401</t>
  </si>
  <si>
    <t>ii202402</t>
  </si>
  <si>
    <t>ii202403</t>
  </si>
  <si>
    <t>ie202306</t>
  </si>
  <si>
    <t>ie202310</t>
  </si>
  <si>
    <t>ie202311</t>
  </si>
  <si>
    <t>ie202401</t>
  </si>
  <si>
    <t>ie202402</t>
  </si>
  <si>
    <t>ie202403</t>
  </si>
  <si>
    <t>iw202306</t>
  </si>
  <si>
    <t>iw202310</t>
  </si>
  <si>
    <t>iw202311</t>
  </si>
  <si>
    <t>iw202401</t>
  </si>
  <si>
    <t>iw202402</t>
  </si>
  <si>
    <t>iw202403</t>
  </si>
  <si>
    <t>r202306</t>
  </si>
  <si>
    <t>r202310</t>
  </si>
  <si>
    <t>r202311</t>
  </si>
  <si>
    <t>r202401</t>
  </si>
  <si>
    <t>r202402</t>
  </si>
  <si>
    <t>r202403</t>
  </si>
  <si>
    <t>ri202306</t>
  </si>
  <si>
    <t>ri202310</t>
  </si>
  <si>
    <t>ri202311</t>
  </si>
  <si>
    <t>ri202401</t>
  </si>
  <si>
    <t>ri202402</t>
  </si>
  <si>
    <t>ri202403</t>
  </si>
  <si>
    <t>re202306</t>
  </si>
  <si>
    <t>re202310</t>
  </si>
  <si>
    <t>re202311</t>
  </si>
  <si>
    <t>re202401</t>
  </si>
  <si>
    <t>re202402</t>
  </si>
  <si>
    <t>re202403</t>
  </si>
  <si>
    <t>rw202306</t>
  </si>
  <si>
    <t>rw202310</t>
  </si>
  <si>
    <t>rw202311</t>
  </si>
  <si>
    <t>rw202401</t>
  </si>
  <si>
    <t>rw202402</t>
  </si>
  <si>
    <t>rw202403</t>
  </si>
  <si>
    <t>c202306</t>
  </si>
  <si>
    <t>c202310</t>
  </si>
  <si>
    <t>c202311</t>
  </si>
  <si>
    <t>c202401</t>
  </si>
  <si>
    <t>c202402</t>
  </si>
  <si>
    <t>c202403</t>
  </si>
  <si>
    <t>Qatar</t>
  </si>
  <si>
    <t>KSA</t>
  </si>
  <si>
    <t>Bahrein</t>
  </si>
  <si>
    <t>Vietnam</t>
  </si>
  <si>
    <t>Austria</t>
  </si>
  <si>
    <t>Greece</t>
  </si>
  <si>
    <t>Armenia</t>
  </si>
  <si>
    <t>Italy</t>
  </si>
  <si>
    <t>Denmark</t>
  </si>
  <si>
    <t>Philippines</t>
  </si>
  <si>
    <t>Portugal</t>
  </si>
  <si>
    <t>US</t>
  </si>
  <si>
    <t>Netherlands</t>
  </si>
  <si>
    <t>Mexico</t>
  </si>
  <si>
    <t>Germany</t>
  </si>
  <si>
    <t>Spain</t>
  </si>
  <si>
    <t>Sweden</t>
  </si>
  <si>
    <t>Hainan</t>
  </si>
  <si>
    <t>Israel</t>
  </si>
  <si>
    <t>South Africa</t>
  </si>
  <si>
    <t>New Zealand</t>
  </si>
  <si>
    <t/>
  </si>
  <si>
    <t>The Pearl</t>
  </si>
  <si>
    <t>Monaco</t>
  </si>
  <si>
    <t>Call Center Italy</t>
  </si>
  <si>
    <t>Call Center China</t>
  </si>
  <si>
    <t>Call Center US</t>
  </si>
  <si>
    <t>Call Center Switzerland</t>
  </si>
  <si>
    <t>Call Center Japan</t>
  </si>
  <si>
    <t>Call Center Hong Kong</t>
  </si>
  <si>
    <t>Call Center France</t>
  </si>
  <si>
    <t>Call Center Singapore</t>
  </si>
  <si>
    <t>Call Center UK</t>
  </si>
  <si>
    <t>Call Center Germany</t>
  </si>
  <si>
    <t>Call Center ME</t>
  </si>
  <si>
    <t>Call Center KOREA</t>
  </si>
  <si>
    <t>Chengdu -  In99</t>
  </si>
  <si>
    <t>Düsseldorf - Bucherer</t>
  </si>
  <si>
    <t>Qingdao - Hisense Plaza</t>
  </si>
  <si>
    <t>Xuzhou - Suning Plaza</t>
  </si>
  <si>
    <t>Lanzhou - Guo Fang Plaza</t>
  </si>
  <si>
    <t>Chengdu - SKP</t>
  </si>
  <si>
    <t>Shenzhen - MixC</t>
  </si>
  <si>
    <t>Harbin - Charter</t>
  </si>
  <si>
    <t>Qingdao - Mix City</t>
  </si>
  <si>
    <t>Dubai - Dubai Mall incl. Suite 1755</t>
  </si>
  <si>
    <t>Anshan - Wisdom</t>
  </si>
  <si>
    <t>Doha - Villagio</t>
  </si>
  <si>
    <t>Edinburgh - Chisholm Hunter</t>
  </si>
  <si>
    <t>Dubai - MOE</t>
  </si>
  <si>
    <t>Macau - Wynn Encore</t>
  </si>
  <si>
    <t>Wuhan - Heartland 66</t>
  </si>
  <si>
    <t>Nanning - MixC</t>
  </si>
  <si>
    <t>Chongqing - MixC</t>
  </si>
  <si>
    <t>Kuwait - Salhiya Mall</t>
  </si>
  <si>
    <t>Changsha - IFS</t>
  </si>
  <si>
    <t>Hohhot - Zhenhua</t>
  </si>
  <si>
    <t>Macau - Galaxy</t>
  </si>
  <si>
    <t>Riyadh - Kingdom Mall</t>
  </si>
  <si>
    <t>Shijiazhuang - Mix City Old</t>
  </si>
  <si>
    <t>Roma - Hausmann &amp; Co</t>
  </si>
  <si>
    <t>Guangzhou - Friendship</t>
  </si>
  <si>
    <t>Ningbo - Heyi Mall</t>
  </si>
  <si>
    <t>Zurich - Bahnofstrasse</t>
  </si>
  <si>
    <t>Macau - MGM Luck Hock</t>
  </si>
  <si>
    <t>Costa Mesa - South Coast Plaza</t>
  </si>
  <si>
    <t>Münster - Freisfeld Freisfeld</t>
  </si>
  <si>
    <t>Jeddah - Al Fardan Al Fardan Jewellery</t>
  </si>
  <si>
    <t>Manama - Moda Mall</t>
  </si>
  <si>
    <t>Chengdu - IFS</t>
  </si>
  <si>
    <t>Kunming - Spring City 66</t>
  </si>
  <si>
    <t>Suzhou - Matro</t>
  </si>
  <si>
    <t>Shanghai - Qian Tan TKL</t>
  </si>
  <si>
    <t>Wuxi - Center 66</t>
  </si>
  <si>
    <t>Shijiazhuang - Future Mall</t>
  </si>
  <si>
    <t>Tianjin - Hisense Plaza</t>
  </si>
  <si>
    <t>Xiamen - MixC</t>
  </si>
  <si>
    <t>Sydney - 104 King Street</t>
  </si>
  <si>
    <t>Hefei - Binhu Intime</t>
  </si>
  <si>
    <t>Toronto - Yorkdale</t>
  </si>
  <si>
    <t>Taichung - Far Eastern</t>
  </si>
  <si>
    <t>Guangzhou - Taikoo Hui</t>
  </si>
  <si>
    <t>Zhengzhou - David Plaza</t>
  </si>
  <si>
    <t>Beijing - WFC</t>
  </si>
  <si>
    <t>Chongqing - Timesquare</t>
  </si>
  <si>
    <t>Hangzhou - Tower</t>
  </si>
  <si>
    <t>Shanghai - NJWR</t>
  </si>
  <si>
    <t>New York - Aurum/WOS Hudson Yards</t>
  </si>
  <si>
    <t>Busan - Shinsegae Centum</t>
  </si>
  <si>
    <t>New York - 57th Street</t>
  </si>
  <si>
    <t>Firenze - Ponte Vecchio</t>
  </si>
  <si>
    <t>Hanoi - Tamson</t>
  </si>
  <si>
    <t>London - Old Bond Street</t>
  </si>
  <si>
    <t>Vienna - Wempe Wempe</t>
  </si>
  <si>
    <t>Chicago - Burdeen's</t>
  </si>
  <si>
    <t>Doha - Vendome</t>
  </si>
  <si>
    <t>Hefei - Intime</t>
  </si>
  <si>
    <t>Seoul - Lotte Avenuel Main</t>
  </si>
  <si>
    <t>Hong Kong - Europe Elements</t>
  </si>
  <si>
    <t>Las Vegas - Palazzo</t>
  </si>
  <si>
    <t>Shanghai - Pudong IFC</t>
  </si>
  <si>
    <t>Beijing - Shin Kong Place</t>
  </si>
  <si>
    <t>Seoul - Hyundai Main</t>
  </si>
  <si>
    <t>Ningbo - Hankyu</t>
  </si>
  <si>
    <t>Houston - Zadok</t>
  </si>
  <si>
    <t>Hong Kong - Carnarvon Road</t>
  </si>
  <si>
    <t>Hangzhou - Mix City</t>
  </si>
  <si>
    <t>Porto - David Rosas</t>
  </si>
  <si>
    <t>London - Bucherer United Kingdom - Selfridges</t>
  </si>
  <si>
    <t>Hong Kong - Prince’s B.</t>
  </si>
  <si>
    <t>Shanghai - Daimaru</t>
  </si>
  <si>
    <t>Shenyang - MixC</t>
  </si>
  <si>
    <t>Athens - Imanoglu Centre Palatzian</t>
  </si>
  <si>
    <t>Hong Kong - Ocean Terminal</t>
  </si>
  <si>
    <t>Leeds - Berrys Jeweller</t>
  </si>
  <si>
    <t>Seoul - Shinsegae Main</t>
  </si>
  <si>
    <t>Geneva - Longemalle</t>
  </si>
  <si>
    <t>Copenhagen - Illum Bucherer</t>
  </si>
  <si>
    <t>Tokyo - Ginza</t>
  </si>
  <si>
    <t>Yerevan - Chronograph Watch World</t>
  </si>
  <si>
    <t>Tokyo - Isetan Shinjuku</t>
  </si>
  <si>
    <t>Nanjing - Deji Plaza</t>
  </si>
  <si>
    <t>Greenwich - Manfredi</t>
  </si>
  <si>
    <t>Xian - SKP</t>
  </si>
  <si>
    <t>Nanjing - Golden Eagle</t>
  </si>
  <si>
    <t>Xi'An - Kaiyuan</t>
  </si>
  <si>
    <t>Kuala Lumpur - Pavilion Mall</t>
  </si>
  <si>
    <t>Lucerne - Kapellplatz</t>
  </si>
  <si>
    <t>Paris - Rue de la Paix</t>
  </si>
  <si>
    <t>Seoul - Galleria</t>
  </si>
  <si>
    <t>Taipei - Taipei 101</t>
  </si>
  <si>
    <t>Manila - Quality Time Greenbelt</t>
  </si>
  <si>
    <t>Vancouver - Alberni Street</t>
  </si>
  <si>
    <t>Hamburg - Brahmfeld &amp; Gutruf Hamburg Freisfeld</t>
  </si>
  <si>
    <t>London - Harrods</t>
  </si>
  <si>
    <t>Copenhagen - Klarlund Copenhagen/Ostergade</t>
  </si>
  <si>
    <t>Lisbon - Tempus</t>
  </si>
  <si>
    <t>Den Haag - Den Haag Schaap &amp; Citroen</t>
  </si>
  <si>
    <t>Berlin - Berlin KaDeWe Bucherer</t>
  </si>
  <si>
    <t>Cancun -  Ultra Jewels Perfumeria Ultra</t>
  </si>
  <si>
    <t>Hainan - CDF Sanya HTB</t>
  </si>
  <si>
    <t>Tokyo - Nihombashi Mitsukoshi</t>
  </si>
  <si>
    <t>Munich - Maximilianstrasse</t>
  </si>
  <si>
    <t>Perth - Watches of Switzerland Perth</t>
  </si>
  <si>
    <t>Mexico - Peyrelongue</t>
  </si>
  <si>
    <t>Hamburg - Jungfernstieg Wempe</t>
  </si>
  <si>
    <t>Kobe - Kamine Kyukyoriuchiten</t>
  </si>
  <si>
    <t>Shenzhen - One Avenue</t>
  </si>
  <si>
    <t>Beijing - China World</t>
  </si>
  <si>
    <t>Melbourne - 88 Collins Street</t>
  </si>
  <si>
    <t>USA - SAKS FIFTH AVENUE</t>
  </si>
  <si>
    <t>Seoul - Shinsegae Gangnam</t>
  </si>
  <si>
    <t>Seoul - Play Hours World Tower</t>
  </si>
  <si>
    <t>Barcelona - Paseo de Gracia</t>
  </si>
  <si>
    <t>Miami - Design District</t>
  </si>
  <si>
    <t>Milan - Pisa Orologeria</t>
  </si>
  <si>
    <t>Osaka - Shinsaibashi Daimaru</t>
  </si>
  <si>
    <t>Daejeon - Shinsegae Daejeon</t>
  </si>
  <si>
    <t>Lucerne - TimeValle By Gubelin</t>
  </si>
  <si>
    <t>Sydney - J Farren Price</t>
  </si>
  <si>
    <t>Singapore - Ion</t>
  </si>
  <si>
    <t>Hainan - CDF TV Mova mall</t>
  </si>
  <si>
    <t>Wenzhou - Mix City</t>
  </si>
  <si>
    <t>Nantong - Mix City</t>
  </si>
  <si>
    <t>Tokyo - Tenshodo</t>
  </si>
  <si>
    <t>Paris - La Samaritaine</t>
  </si>
  <si>
    <t>Madrid - Serrano</t>
  </si>
  <si>
    <t>Osaka - Takashimaya</t>
  </si>
  <si>
    <t>Nagoya - Matsuzakaya</t>
  </si>
  <si>
    <t>Singapore - MBS</t>
  </si>
  <si>
    <t>Hainan - CTF Haikou Xinhaigang</t>
  </si>
  <si>
    <t>Osaka - Umeda Hankyu</t>
  </si>
  <si>
    <t>Stockholm - Nymans Ur Nymans Ur</t>
  </si>
  <si>
    <t>MO Cotai - CDF Grand Lisboa Palace</t>
  </si>
  <si>
    <t>Strasbourg - Edouard Genton Edouard Genton</t>
  </si>
  <si>
    <t>Seoul - Lotte Sogong Duty Free</t>
  </si>
  <si>
    <t>Frankfurt - Bucherer</t>
  </si>
  <si>
    <t>Valley Fair - CH Premier</t>
  </si>
  <si>
    <t>Hainan - Paragon King Power Sanya City Mall Time Vallee</t>
  </si>
  <si>
    <t>Tel Aviv - Chronotime</t>
  </si>
  <si>
    <t>Hong Kong - Yes&amp;Right CWB</t>
  </si>
  <si>
    <t>HK Admiralty - King Fook PP</t>
  </si>
  <si>
    <t>Palo Alto - Chong Hing Premier</t>
  </si>
  <si>
    <t>Tokyo - Ishida Best Shinjuku Honten</t>
  </si>
  <si>
    <t>Johannesburg - Sandton Elegance</t>
  </si>
  <si>
    <t>London - Watches of Switzerland -  Regent Street</t>
  </si>
  <si>
    <t>Stuttgart - Stuttgart Wempe</t>
  </si>
  <si>
    <t>Flushing - Carat &amp; Co.</t>
  </si>
  <si>
    <t>New Zealand - Auckland Partridge</t>
  </si>
  <si>
    <t>Daegu - Hyundai Daegu</t>
  </si>
  <si>
    <t>Düsseldorf - Wempe Wempe</t>
  </si>
  <si>
    <t>Bangkok -  King Power Rangnam</t>
  </si>
  <si>
    <t>Macau - Wynn Palace</t>
  </si>
  <si>
    <t>Dalian - Olympia 66</t>
  </si>
  <si>
    <t>Changsha - Hisense</t>
  </si>
  <si>
    <t>Paris - SaintHonore</t>
  </si>
  <si>
    <t>Taiyuan - WANGFUJING</t>
  </si>
  <si>
    <t>Monterrey - EMWA Maxima</t>
  </si>
  <si>
    <t>Interlaken - Bucherer</t>
  </si>
  <si>
    <t>Bangkok - Siam Paragon</t>
  </si>
  <si>
    <t>Beverly Hills - Rodeo Drive</t>
  </si>
  <si>
    <t>Lyon - Maier</t>
  </si>
  <si>
    <t>Boston - Shreve‚ Crump &amp; Low</t>
  </si>
  <si>
    <t>Milan - Montenapoleone</t>
  </si>
  <si>
    <t>Fukuoka - Hakata Daimaru</t>
  </si>
  <si>
    <t>HK Central - Carlson</t>
  </si>
  <si>
    <t>Amsterdam - Dam Square Gassan</t>
  </si>
  <si>
    <t>[REGION NAME]</t>
  </si>
  <si>
    <t>rc_FEB24_PTS||Name</t>
  </si>
  <si>
    <t>rc_JAN24_PTS||Name</t>
  </si>
  <si>
    <t>h_FEB24_PTS||Name||Cluster A</t>
  </si>
  <si>
    <t>h_FEB24_PTS||Name||Flagship</t>
  </si>
  <si>
    <t>h_JAN24_PTS||Name||Flagship</t>
  </si>
  <si>
    <t>h_JAN24_PTS||Name||Cluster A</t>
  </si>
  <si>
    <t>XX1</t>
  </si>
  <si>
    <t>XX2</t>
  </si>
  <si>
    <t>{s_qs|nbAll|0|||^nbAll^}</t>
  </si>
  <si>
    <t>e1|ww1</t>
  </si>
  <si>
    <t>e1|sc1</t>
  </si>
  <si>
    <t>e1|vis1</t>
  </si>
  <si>
    <t>h_JAN24_PTS||Name</t>
  </si>
  <si>
    <t>h_FEB24_PTS||Name</t>
  </si>
  <si>
    <t>e1|ww2</t>
  </si>
  <si>
    <t>e1|sc2</t>
  </si>
  <si>
    <t>e1|vis2</t>
  </si>
  <si>
    <t>h_JAN24_PTS</t>
  </si>
  <si>
    <t>h_FEB24_PTS</t>
  </si>
  <si>
    <t>e2|ww1</t>
  </si>
  <si>
    <t>e2|sc1</t>
  </si>
  <si>
    <t>e2|vis1</t>
  </si>
  <si>
    <t>e2|ww2</t>
  </si>
  <si>
    <t>e2|sc2</t>
  </si>
  <si>
    <t>e2|vis2</t>
  </si>
  <si>
    <t>e3|ww1</t>
  </si>
  <si>
    <t>e3|sc1</t>
  </si>
  <si>
    <t>e3|vis1</t>
  </si>
  <si>
    <t>e3|ww2</t>
  </si>
  <si>
    <t>e3|sc2</t>
  </si>
  <si>
    <t>e3|vis2</t>
  </si>
  <si>
    <t>c_JAN24_PTS||Flagship</t>
  </si>
  <si>
    <t>c_FEB24_PTS||Flagship</t>
  </si>
  <si>
    <t>c_JAN24_PTS||Cluster A</t>
  </si>
  <si>
    <t>c_FEB24_PTS||Cluster A</t>
  </si>
  <si>
    <t>{s_qs|nbAll|0 visit| visit| visits|^nbAll^}</t>
  </si>
  <si>
    <t>us|sc1</t>
  </si>
  <si>
    <t>us|vis1</t>
  </si>
  <si>
    <t>us|sc2</t>
  </si>
  <si>
    <t>us|vis2</t>
  </si>
  <si>
    <t>rc_JAN24_PTS</t>
  </si>
  <si>
    <t>rc_FEB24_PTS</t>
  </si>
  <si>
    <t>rc_JAN24_PTS||Americas</t>
  </si>
  <si>
    <t>rc_FEB24_PTS||Americas</t>
  </si>
  <si>
    <t>nea|sc1</t>
  </si>
  <si>
    <t>nea|vis1</t>
  </si>
  <si>
    <t>nea|sc2</t>
  </si>
  <si>
    <t>nea|vis2</t>
  </si>
  <si>
    <t>ko|sc1</t>
  </si>
  <si>
    <t>ko|vis1</t>
  </si>
  <si>
    <t>ko|sc2</t>
  </si>
  <si>
    <t>ko|vis2</t>
  </si>
  <si>
    <t>sea|sc1</t>
  </si>
  <si>
    <t>sea|vis1</t>
  </si>
  <si>
    <t>sea|sc2</t>
  </si>
  <si>
    <t>sea|vis2</t>
  </si>
  <si>
    <t>rc_JAN24_PTS||Europe</t>
  </si>
  <si>
    <t>rc_JAN24_PTS||MEA</t>
  </si>
  <si>
    <t>rc_JAN24_PTS||China</t>
  </si>
  <si>
    <t>rc_JAN24_PTS||NEAsia</t>
  </si>
  <si>
    <t>rc_JAN24_PTS||Korea</t>
  </si>
  <si>
    <t>rc_JAN24_PTS||Japan</t>
  </si>
  <si>
    <t>rc_JAN24_PTS||SEAsia</t>
  </si>
  <si>
    <t>graph</t>
  </si>
  <si>
    <t>rc_FEB24_PTS||Europe</t>
  </si>
  <si>
    <t>rc_FEB24_PTS||MEA</t>
  </si>
  <si>
    <t>rc_FEB24_PTS||SEAsia</t>
  </si>
  <si>
    <t>rc_FEB24_PTS||Japan</t>
  </si>
  <si>
    <t>rc_FEB24_PTS||Korea</t>
  </si>
  <si>
    <t>rc_FEB24_PTS||NEAsia</t>
  </si>
  <si>
    <t>rc_FEB24_PTS||China</t>
  </si>
  <si>
    <t>q1|sc1</t>
  </si>
  <si>
    <t>q1|ww1</t>
  </si>
  <si>
    <t>q1|ww2</t>
  </si>
  <si>
    <t>q1|sc2</t>
  </si>
  <si>
    <t>q2|ww1</t>
  </si>
  <si>
    <t>q2|sc1</t>
  </si>
  <si>
    <t>q2|ww2</t>
  </si>
  <si>
    <t>q2|sc2</t>
  </si>
  <si>
    <t>q3|ww1</t>
  </si>
  <si>
    <t>q3|sc1</t>
  </si>
  <si>
    <t>q3|ww2</t>
  </si>
  <si>
    <t>q3|sc2</t>
  </si>
  <si>
    <t>graph1</t>
  </si>
  <si>
    <t>graph2</t>
  </si>
  <si>
    <t>q4|ww1</t>
  </si>
  <si>
    <t>q4|sc1</t>
  </si>
  <si>
    <t>q4|ww2</t>
  </si>
  <si>
    <t>q4|sc2</t>
  </si>
  <si>
    <t>q5|ww1</t>
  </si>
  <si>
    <t>q5|sc1</t>
  </si>
  <si>
    <t>q5|ww2</t>
  </si>
  <si>
    <t>q5|sc2</t>
  </si>
  <si>
    <t>g1|r1</t>
  </si>
  <si>
    <t>g1|r2</t>
  </si>
  <si>
    <t>g1|r3</t>
  </si>
  <si>
    <t>g1|r4</t>
  </si>
  <si>
    <t>g1|r5</t>
  </si>
  <si>
    <t>g1|r6</t>
  </si>
  <si>
    <t>g1|r7</t>
  </si>
  <si>
    <t>g1|r8</t>
  </si>
  <si>
    <t>g1|r9</t>
  </si>
  <si>
    <t>g1|r10</t>
  </si>
  <si>
    <t>g2|r1</t>
  </si>
  <si>
    <t>g2|r2</t>
  </si>
  <si>
    <t>g2|r3</t>
  </si>
  <si>
    <t>g2|r4</t>
  </si>
  <si>
    <t>g2|r5</t>
  </si>
  <si>
    <t>{i_store|var||^var^};{i_store_name|var||^var^};{i_region|var||^var^};{i_country|var||^var^};{s_qs|%||0|1|^%^%}</t>
  </si>
  <si>
    <t>rs_FEB24_PTS||Name</t>
  </si>
  <si>
    <t>rs_JAN24_PTS||Name</t>
  </si>
  <si>
    <t>{r_q33|NR%|N/A|0|100|x|6|^NR%^%}</t>
  </si>
  <si>
    <t>{r_q29|R%|N/A|0|100|x|1|^R%^%}</t>
  </si>
  <si>
    <t>h_JAN24_TXT</t>
  </si>
  <si>
    <t>h_JAN24_TXT||Name</t>
  </si>
  <si>
    <t>h_FEB24_TXT</t>
  </si>
  <si>
    <t>h_FEB24_TXT||Name</t>
  </si>
  <si>
    <t>{r_q30|NR%|N/A|0|100|x|11|^NR%^%}</t>
  </si>
  <si>
    <t>{r_q30|R%|N/A|0|100|x|1|^R%^%}</t>
  </si>
  <si>
    <t>{r_q30|R%|N/A|0|100|x|2|^R%^%}</t>
  </si>
  <si>
    <t>{r_q30|R%|N/A|0|100|x|3|^R%^%}</t>
  </si>
  <si>
    <t>{r_q30|R%|N/A|0|100|x|4|^R%^%}</t>
  </si>
  <si>
    <t>{r_q30|R%|N/A|0|100|x|5|^R%^%}</t>
  </si>
  <si>
    <t>{r_q30|R%|N/A|0|100|x|6|^R%^%}</t>
  </si>
  <si>
    <t>{r_q30|R%|N/A|0|100|x|7|^R%^%}</t>
  </si>
  <si>
    <t>{r_q30|R%|N/A|0|100|x|8|^R%^%}</t>
  </si>
  <si>
    <t>{r_q30|R%|N/A|0|100|x|9|^R%^%}</t>
  </si>
  <si>
    <t>{r_q30|R%|N/A|0|100|x|10|^R%^%}</t>
  </si>
  <si>
    <t>g2|r6</t>
  </si>
  <si>
    <t>g2|r7</t>
  </si>
  <si>
    <t>g2|r8</t>
  </si>
  <si>
    <t>g2|r9</t>
  </si>
  <si>
    <t>g2|r10</t>
  </si>
  <si>
    <t>{s_q36|%|N/A|0|1|^%^%}</t>
  </si>
  <si>
    <t>{r_q37|R%|N/A|0|100|x|1|^R%^%}</t>
  </si>
  <si>
    <t>{s_q26|%|N/A|0|1|^%^%}</t>
  </si>
  <si>
    <t>{r_q26|R%|N/A|0|100|x|1|^R%^%}</t>
  </si>
  <si>
    <t>{r_q26|R%|N/A|0|100|x|2|^R%^%}</t>
  </si>
  <si>
    <t>{r_q26|R%|N/A|0|100|x|3|^R%^%}</t>
  </si>
  <si>
    <t>{r_q26|R%|N/A|0|100|x|4|^R%^%}</t>
  </si>
  <si>
    <t>{r_q26|R%|N/A|0|100|x|5|^R%^%}</t>
  </si>
  <si>
    <t>{r_q26|R%|N/A|0|100|x|6|^R%^%}</t>
  </si>
  <si>
    <t>{r_q26|R%|N/A|0|100|x|7|^R%^%}</t>
  </si>
  <si>
    <t>{r_q13|R%|N/A|0|100|x|1|^R%^%}</t>
  </si>
  <si>
    <t>{r_q13|R%|N/A|0|100|x|2|^R%^%}</t>
  </si>
  <si>
    <t>{r_q13|R%|N/A|0|100|x|3|^R%^%}</t>
  </si>
  <si>
    <t>{r_q13|R%|N/A|0|100|x|4|^R%^%}</t>
  </si>
  <si>
    <t>{r_q13|R%|N/A|0|100|x|5|^R%^%}</t>
  </si>
  <si>
    <t>{s_q12|%|N/A|0|1|^%^%}</t>
  </si>
  <si>
    <t>{s_q13|%|N/A|0|1|^%^%}</t>
  </si>
  <si>
    <t>{r_q43|NR%|N/A|0|100|x|3|^NR%^%}</t>
  </si>
  <si>
    <t>{s_q44|%|N/A|0|1|^%^%}</t>
  </si>
  <si>
    <t>{s_q45|%|N/A|0|1|^%^%}</t>
  </si>
  <si>
    <t>{s_q39|%|N/A|0|1|^%^%}</t>
  </si>
  <si>
    <t>{s_q40|%|N/A|0|1|^%^%}</t>
  </si>
  <si>
    <t>g3|r1</t>
  </si>
  <si>
    <t>g3|r2</t>
  </si>
  <si>
    <t>g3|r3</t>
  </si>
  <si>
    <t>g3|r4</t>
  </si>
  <si>
    <t>g3|r5</t>
  </si>
  <si>
    <t>g4|r1</t>
  </si>
  <si>
    <t>g4|r2</t>
  </si>
  <si>
    <t>g4|r3</t>
  </si>
  <si>
    <t>g4|r4</t>
  </si>
  <si>
    <t>g4|r5</t>
  </si>
  <si>
    <t>getData</t>
  </si>
  <si>
    <t>Fin</t>
  </si>
  <si>
    <t>cMs : VCUSA007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</si>
</sst>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_€_-;\-* #,##0.00\ _€_-;_-* &quot;-&quot;??\ _€_-;_-@_-"/>
    <numFmt numFmtId="165" formatCode="_(* #,##0.00_);_(* \(#,##0.00\);_(* &quot;-&quot;??_);_(@_)"/>
    <numFmt numFmtId="166" formatCode="_(&quot;€&quot;* #,##0_);_(&quot;€&quot;* \(#,##0\);_(&quot;€&quot;* &quot;-&quot;_);_(@_)"/>
    <numFmt numFmtId="167" formatCode="_(* #,##0_);_(* \(#,##0\);_(* &quot;-&quot;_);_(@_)"/>
    <numFmt numFmtId="168" formatCode="_(&quot;€&quot;* #,##0.00_);_(&quot;€&quot;* \(#,##0.00\);_(&quot;€&quot;* &quot;-&quot;??_);_(@_)"/>
    <numFmt numFmtId="169" formatCode="_-* #,##0.00\ [$€]_-;\-* #,##0.00\ [$€]_-;_-* \-??\ [$€]_-;_-@_-"/>
    <numFmt numFmtId="170" formatCode="[$-F400]h:mm:ss\ AM/PM"/>
    <numFmt numFmtId="171" formatCode="_-* #,##0\ _€_-;\-* #,##0\ _€_-;_-* &quot;-&quot;\ _€_-;_-@_-"/>
    <numFmt numFmtId="172" formatCode="#,##0.00&quot; F&quot;;\-#,##0.00&quot; F&quot;"/>
  </numFmts>
  <fonts count="89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6.95"/>
      <color indexed="12"/>
      <name val="Calibri"/>
      <family val="2"/>
    </font>
    <font>
      <u/>
      <sz val="9.35"/>
      <color theme="10"/>
      <name val="Calibri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1"/>
      <color indexed="12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36"/>
      <name val="Calibri"/>
      <family val="2"/>
    </font>
    <font>
      <sz val="11"/>
      <color indexed="60"/>
      <name val="Calibri"/>
      <family val="2"/>
    </font>
    <font>
      <sz val="10"/>
      <color indexed="39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i/>
      <sz val="11"/>
      <color indexed="22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4"/>
      <color theme="1"/>
      <name val="Calibri"/>
      <family val="2"/>
      <scheme val="minor"/>
    </font>
    <font>
      <b/>
      <sz val="22"/>
      <color theme="3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b/>
      <sz val="36"/>
      <color rgb="FFFF00FF"/>
      <name val="Calibri"/>
      <family val="2"/>
    </font>
    <font>
      <sz val="10"/>
      <name val="Geneva"/>
    </font>
    <font>
      <sz val="12"/>
      <name val="Geneva"/>
    </font>
    <font>
      <sz val="9"/>
      <name val="Geneva"/>
    </font>
    <font>
      <sz val="10"/>
      <color theme="0"/>
      <name val="Geneva"/>
    </font>
    <font>
      <sz val="12"/>
      <color theme="1"/>
      <name val="Calibri"/>
      <family val="2"/>
      <scheme val="minor"/>
    </font>
    <font>
      <sz val="12"/>
      <color rgb="FF9C65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9C0006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sz val="12"/>
      <color indexed="8"/>
      <name val="Calibri"/>
      <family val="2"/>
    </font>
    <font>
      <sz val="10"/>
      <name val="Verdana"/>
      <family val="2"/>
    </font>
    <font>
      <sz val="12"/>
      <color indexed="11"/>
      <name val="Calibri"/>
      <family val="2"/>
    </font>
    <font>
      <b/>
      <sz val="15"/>
      <color indexed="18"/>
      <name val="Calibri"/>
      <family val="2"/>
    </font>
    <font>
      <sz val="10"/>
      <color indexed="8"/>
      <name val="Calibri"/>
      <family val="2"/>
    </font>
    <font>
      <b/>
      <sz val="10"/>
      <color indexed="9"/>
      <name val="Calibri"/>
      <family val="2"/>
    </font>
    <font>
      <sz val="9"/>
      <name val="Geneva"/>
      <family val="2"/>
    </font>
    <font>
      <sz val="11"/>
      <color theme="1"/>
      <name val="Verdana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B050"/>
      <name val="Wingdings 3"/>
      <family val="1"/>
      <charset val="2"/>
    </font>
    <font>
      <sz val="10"/>
      <color rgb="FFFFC000"/>
      <name val="Wingdings 3"/>
      <family val="1"/>
      <charset val="2"/>
    </font>
    <font>
      <sz val="10"/>
      <color rgb="FFFF0000"/>
      <name val="Wingdings 2"/>
      <family val="1"/>
      <charset val="2"/>
    </font>
    <font>
      <sz val="10"/>
      <color rgb="FF00B050"/>
      <name val="Wingdings 2"/>
      <family val="1"/>
      <charset val="2"/>
    </font>
    <font>
      <sz val="10"/>
      <name val="Bahnschrift"/>
      <family val="2"/>
    </font>
    <font>
      <sz val="10"/>
      <color rgb="FFC02288"/>
      <name val="Geneva"/>
    </font>
    <font>
      <sz val="10"/>
      <color rgb="FFBFBFBF"/>
      <name val="Geneva"/>
    </font>
    <font>
      <sz val="10"/>
      <name val="Wingdings 3"/>
      <family val="1"/>
      <charset val="2"/>
    </font>
    <font>
      <sz val="10"/>
      <color rgb="FF00B050"/>
      <name val="Geneva"/>
    </font>
    <font>
      <sz val="10"/>
      <color rgb="FFFFC000"/>
      <name val="Geneva"/>
    </font>
    <font>
      <sz val="10"/>
      <color rgb="FFED7D31"/>
      <name val="Geneva"/>
    </font>
  </fonts>
  <fills count="8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1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medium">
        <color indexed="30"/>
      </bottom>
      <diagonal/>
    </border>
    <border>
      <left style="medium">
        <color auto="1"/>
      </left>
      <right style="dotted">
        <color auto="1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medium">
        <color indexed="64"/>
      </top>
      <bottom style="medium">
        <color indexed="64"/>
      </bottom>
      <diagonal/>
    </border>
    <border>
      <left style="dotted">
        <color auto="1"/>
      </left>
      <right/>
      <top style="medium">
        <color indexed="64"/>
      </top>
      <bottom style="medium">
        <color indexed="64"/>
      </bottom>
      <diagonal/>
    </border>
    <border>
      <left style="dotted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/>
      <diagonal style="thin">
        <color indexed="64"/>
      </diagonal>
    </border>
  </borders>
  <cellStyleXfs count="809">
    <xf numFmtId="0" fontId="0" fillId="0" borderId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3" fillId="8" borderId="9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10" applyNumberFormat="0" applyFill="0" applyAlignment="0" applyProtection="0"/>
    <xf numFmtId="0" fontId="18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18" fillId="32" borderId="0" applyNumberFormat="0" applyBorder="0" applyAlignment="0" applyProtection="0"/>
    <xf numFmtId="0" fontId="3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1" fillId="0" borderId="0"/>
    <xf numFmtId="0" fontId="25" fillId="0" borderId="0"/>
    <xf numFmtId="0" fontId="26" fillId="0" borderId="0">
      <alignment horizontal="left" vertical="center" indent="1"/>
    </xf>
    <xf numFmtId="9" fontId="22" fillId="0" borderId="0" applyFont="0" applyFill="0" applyBorder="0" applyAlignment="0" applyProtection="0"/>
    <xf numFmtId="0" fontId="3" fillId="0" borderId="0"/>
    <xf numFmtId="0" fontId="22" fillId="0" borderId="0"/>
    <xf numFmtId="165" fontId="22" fillId="0" borderId="0" applyFont="0" applyFill="0" applyBorder="0" applyAlignment="0" applyProtection="0"/>
    <xf numFmtId="0" fontId="22" fillId="0" borderId="0"/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9" fontId="22" fillId="0" borderId="0" applyFont="0" applyFill="0" applyBorder="0" applyAlignment="0" applyProtection="0"/>
    <xf numFmtId="0" fontId="3" fillId="0" borderId="0"/>
    <xf numFmtId="0" fontId="22" fillId="0" borderId="0"/>
    <xf numFmtId="0" fontId="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9" fontId="22" fillId="0" borderId="0" applyFont="0" applyFill="0" applyBorder="0" applyAlignment="0" applyProtection="0"/>
    <xf numFmtId="0" fontId="3" fillId="0" borderId="0"/>
    <xf numFmtId="0" fontId="22" fillId="0" borderId="0"/>
    <xf numFmtId="0" fontId="3" fillId="0" borderId="0"/>
    <xf numFmtId="0" fontId="22" fillId="0" borderId="0"/>
    <xf numFmtId="0" fontId="22" fillId="0" borderId="0"/>
    <xf numFmtId="0" fontId="3" fillId="8" borderId="9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" fillId="0" borderId="0"/>
    <xf numFmtId="0" fontId="3" fillId="0" borderId="0"/>
    <xf numFmtId="0" fontId="3" fillId="0" borderId="0"/>
    <xf numFmtId="0" fontId="30" fillId="68" borderId="0" applyNumberFormat="0" applyBorder="0" applyAlignment="0" applyProtection="0"/>
    <xf numFmtId="0" fontId="30" fillId="64" borderId="0" applyNumberFormat="0" applyBorder="0" applyAlignment="0" applyProtection="0"/>
    <xf numFmtId="0" fontId="30" fillId="63" borderId="0" applyNumberFormat="0" applyBorder="0" applyAlignment="0" applyProtection="0"/>
    <xf numFmtId="0" fontId="30" fillId="67" borderId="0" applyNumberFormat="0" applyBorder="0" applyAlignment="0" applyProtection="0"/>
    <xf numFmtId="0" fontId="30" fillId="66" borderId="0" applyNumberFormat="0" applyBorder="0" applyAlignment="0" applyProtection="0"/>
    <xf numFmtId="0" fontId="30" fillId="65" borderId="0" applyNumberFormat="0" applyBorder="0" applyAlignment="0" applyProtection="0"/>
    <xf numFmtId="0" fontId="22" fillId="0" borderId="0"/>
    <xf numFmtId="0" fontId="22" fillId="0" borderId="0"/>
    <xf numFmtId="168" fontId="22" fillId="0" borderId="0"/>
    <xf numFmtId="166" fontId="22" fillId="0" borderId="0"/>
    <xf numFmtId="165" fontId="22" fillId="0" borderId="0"/>
    <xf numFmtId="167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2" fillId="0" borderId="0"/>
    <xf numFmtId="9" fontId="22" fillId="0" borderId="0"/>
    <xf numFmtId="168" fontId="22" fillId="0" borderId="0"/>
    <xf numFmtId="166" fontId="22" fillId="0" borderId="0"/>
    <xf numFmtId="165" fontId="22" fillId="0" borderId="0"/>
    <xf numFmtId="167" fontId="22" fillId="0" borderId="0"/>
    <xf numFmtId="168" fontId="22" fillId="0" borderId="0"/>
    <xf numFmtId="165" fontId="22" fillId="0" borderId="0"/>
    <xf numFmtId="0" fontId="22" fillId="0" borderId="0"/>
    <xf numFmtId="0" fontId="22" fillId="0" borderId="0"/>
    <xf numFmtId="0" fontId="3" fillId="0" borderId="0"/>
    <xf numFmtId="0" fontId="21" fillId="0" borderId="0"/>
    <xf numFmtId="0" fontId="29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28" fillId="34" borderId="0" applyNumberFormat="0" applyBorder="0" applyAlignment="0" applyProtection="0"/>
    <xf numFmtId="0" fontId="28" fillId="35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6" borderId="0" applyNumberFormat="0" applyBorder="0" applyAlignment="0" applyProtection="0"/>
    <xf numFmtId="0" fontId="28" fillId="37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8" borderId="0" applyNumberFormat="0" applyBorder="0" applyAlignment="0" applyProtection="0"/>
    <xf numFmtId="0" fontId="28" fillId="39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35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1" borderId="0" applyNumberFormat="0" applyBorder="0" applyAlignment="0" applyProtection="0"/>
    <xf numFmtId="0" fontId="28" fillId="42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43" borderId="0" applyNumberFormat="0" applyBorder="0" applyAlignment="0" applyProtection="0"/>
    <xf numFmtId="0" fontId="28" fillId="37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2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37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39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40" borderId="0" applyNumberFormat="0" applyBorder="0" applyAlignment="0" applyProtection="0"/>
    <xf numFmtId="0" fontId="28" fillId="3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4" borderId="0" applyNumberFormat="0" applyBorder="0" applyAlignment="0" applyProtection="0"/>
    <xf numFmtId="0" fontId="28" fillId="42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6" borderId="0" applyNumberFormat="0" applyBorder="0" applyAlignment="0" applyProtection="0"/>
    <xf numFmtId="0" fontId="28" fillId="43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7" borderId="0" applyNumberFormat="0" applyBorder="0" applyAlignment="0" applyProtection="0"/>
    <xf numFmtId="0" fontId="30" fillId="42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43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39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2" borderId="0" applyNumberFormat="0" applyBorder="0" applyAlignment="0" applyProtection="0"/>
    <xf numFmtId="0" fontId="30" fillId="50" borderId="0" applyNumberFormat="0" applyBorder="0" applyAlignment="0" applyProtection="0"/>
    <xf numFmtId="0" fontId="30" fillId="50" borderId="0" applyNumberFormat="0" applyBorder="0" applyAlignment="0" applyProtection="0"/>
    <xf numFmtId="0" fontId="30" fillId="50" borderId="0" applyNumberFormat="0" applyBorder="0" applyAlignment="0" applyProtection="0"/>
    <xf numFmtId="0" fontId="30" fillId="50" borderId="0" applyNumberFormat="0" applyBorder="0" applyAlignment="0" applyProtection="0"/>
    <xf numFmtId="0" fontId="30" fillId="50" borderId="0" applyNumberFormat="0" applyBorder="0" applyAlignment="0" applyProtection="0"/>
    <xf numFmtId="0" fontId="30" fillId="50" borderId="0" applyNumberFormat="0" applyBorder="0" applyAlignment="0" applyProtection="0"/>
    <xf numFmtId="0" fontId="30" fillId="43" borderId="0" applyNumberFormat="0" applyBorder="0" applyAlignment="0" applyProtection="0"/>
    <xf numFmtId="0" fontId="30" fillId="51" borderId="0" applyNumberFormat="0" applyBorder="0" applyAlignment="0" applyProtection="0"/>
    <xf numFmtId="0" fontId="30" fillId="52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35" borderId="0" applyNumberFormat="0" applyBorder="0" applyAlignment="0" applyProtection="0"/>
    <xf numFmtId="0" fontId="30" fillId="53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51" borderId="0" applyNumberFormat="0" applyBorder="0" applyAlignment="0" applyProtection="0"/>
    <xf numFmtId="0" fontId="30" fillId="42" borderId="0" applyNumberFormat="0" applyBorder="0" applyAlignment="0" applyProtection="0"/>
    <xf numFmtId="0" fontId="30" fillId="54" borderId="0" applyNumberFormat="0" applyBorder="0" applyAlignment="0" applyProtection="0"/>
    <xf numFmtId="0" fontId="31" fillId="0" borderId="0" applyNumberFormat="0" applyFill="0" applyBorder="0" applyAlignment="0" applyProtection="0"/>
    <xf numFmtId="0" fontId="32" fillId="49" borderId="12" applyNumberFormat="0" applyAlignment="0" applyProtection="0"/>
    <xf numFmtId="0" fontId="32" fillId="49" borderId="12" applyNumberFormat="0" applyAlignment="0" applyProtection="0"/>
    <xf numFmtId="0" fontId="32" fillId="49" borderId="12" applyNumberFormat="0" applyAlignment="0" applyProtection="0"/>
    <xf numFmtId="0" fontId="32" fillId="49" borderId="12" applyNumberFormat="0" applyAlignment="0" applyProtection="0"/>
    <xf numFmtId="0" fontId="32" fillId="49" borderId="12" applyNumberFormat="0" applyAlignment="0" applyProtection="0"/>
    <xf numFmtId="0" fontId="32" fillId="49" borderId="12" applyNumberFormat="0" applyAlignment="0" applyProtection="0"/>
    <xf numFmtId="0" fontId="32" fillId="55" borderId="11" applyNumberFormat="0" applyAlignment="0" applyProtection="0"/>
    <xf numFmtId="0" fontId="33" fillId="0" borderId="13" applyNumberFormat="0" applyFill="0" applyAlignment="0" applyProtection="0"/>
    <xf numFmtId="165" fontId="22" fillId="0" borderId="0"/>
    <xf numFmtId="0" fontId="22" fillId="56" borderId="11" applyNumberFormat="0" applyAlignment="0" applyProtection="0"/>
    <xf numFmtId="0" fontId="22" fillId="56" borderId="11" applyNumberFormat="0" applyAlignment="0" applyProtection="0"/>
    <xf numFmtId="0" fontId="22" fillId="56" borderId="11" applyNumberFormat="0" applyAlignment="0" applyProtection="0"/>
    <xf numFmtId="0" fontId="22" fillId="56" borderId="11" applyNumberFormat="0" applyAlignment="0" applyProtection="0"/>
    <xf numFmtId="0" fontId="22" fillId="56" borderId="11" applyNumberFormat="0" applyAlignment="0" applyProtection="0"/>
    <xf numFmtId="0" fontId="22" fillId="56" borderId="11" applyNumberFormat="0" applyAlignment="0" applyProtection="0"/>
    <xf numFmtId="0" fontId="22" fillId="56" borderId="11" applyNumberFormat="0" applyAlignment="0" applyProtection="0"/>
    <xf numFmtId="0" fontId="22" fillId="56" borderId="11" applyNumberFormat="0" applyAlignment="0" applyProtection="0"/>
    <xf numFmtId="168" fontId="22" fillId="0" borderId="0"/>
    <xf numFmtId="0" fontId="34" fillId="43" borderId="12" applyNumberFormat="0" applyAlignment="0" applyProtection="0"/>
    <xf numFmtId="0" fontId="34" fillId="43" borderId="12" applyNumberFormat="0" applyAlignment="0" applyProtection="0"/>
    <xf numFmtId="0" fontId="34" fillId="43" borderId="12" applyNumberFormat="0" applyAlignment="0" applyProtection="0"/>
    <xf numFmtId="0" fontId="34" fillId="43" borderId="12" applyNumberFormat="0" applyAlignment="0" applyProtection="0"/>
    <xf numFmtId="0" fontId="34" fillId="43" borderId="12" applyNumberFormat="0" applyAlignment="0" applyProtection="0"/>
    <xf numFmtId="0" fontId="34" fillId="43" borderId="12" applyNumberFormat="0" applyAlignment="0" applyProtection="0"/>
    <xf numFmtId="0" fontId="34" fillId="43" borderId="11" applyNumberFormat="0" applyAlignment="0" applyProtection="0"/>
    <xf numFmtId="169" fontId="22" fillId="0" borderId="0" applyFill="0" applyBorder="0" applyAlignment="0" applyProtection="0"/>
    <xf numFmtId="169" fontId="22" fillId="0" borderId="0" applyFill="0" applyBorder="0" applyAlignment="0" applyProtection="0"/>
    <xf numFmtId="169" fontId="22" fillId="0" borderId="0" applyFill="0" applyBorder="0" applyAlignment="0" applyProtection="0"/>
    <xf numFmtId="169" fontId="22" fillId="0" borderId="0" applyFill="0" applyBorder="0" applyAlignment="0" applyProtection="0"/>
    <xf numFmtId="169" fontId="22" fillId="0" borderId="0" applyFill="0" applyBorder="0" applyAlignment="0" applyProtection="0"/>
    <xf numFmtId="169" fontId="22" fillId="0" borderId="0" applyFill="0" applyBorder="0" applyAlignment="0" applyProtection="0"/>
    <xf numFmtId="169" fontId="22" fillId="0" borderId="0" applyFill="0" applyBorder="0" applyAlignment="0" applyProtection="0"/>
    <xf numFmtId="169" fontId="22" fillId="0" borderId="0" applyFill="0" applyBorder="0" applyAlignment="0" applyProtection="0"/>
    <xf numFmtId="168" fontId="29" fillId="0" borderId="0" applyFill="0" applyBorder="0" applyAlignment="0" applyProtection="0"/>
    <xf numFmtId="0" fontId="35" fillId="36" borderId="0" applyNumberFormat="0" applyBorder="0" applyAlignment="0" applyProtection="0"/>
    <xf numFmtId="0" fontId="36" fillId="57" borderId="0" applyNumberFormat="0" applyBorder="0" applyAlignment="0" applyProtection="0"/>
    <xf numFmtId="0" fontId="3" fillId="0" borderId="0"/>
    <xf numFmtId="0" fontId="3" fillId="0" borderId="0"/>
    <xf numFmtId="0" fontId="22" fillId="0" borderId="0">
      <alignment vertical="center"/>
    </xf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3" fillId="0" borderId="0"/>
    <xf numFmtId="0" fontId="3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9" fontId="22" fillId="0" borderId="0" applyFill="0" applyBorder="0" applyAlignment="0" applyProtection="0"/>
    <xf numFmtId="9" fontId="28" fillId="0" borderId="0" applyFill="0" applyBorder="0" applyAlignment="0" applyProtection="0"/>
    <xf numFmtId="9" fontId="22" fillId="0" borderId="0" applyFill="0" applyBorder="0" applyAlignment="0" applyProtection="0"/>
    <xf numFmtId="9" fontId="22" fillId="0" borderId="0" applyFill="0" applyBorder="0" applyAlignment="0" applyProtection="0"/>
    <xf numFmtId="4" fontId="23" fillId="57" borderId="14" applyProtection="0">
      <alignment vertical="center"/>
    </xf>
    <xf numFmtId="4" fontId="37" fillId="57" borderId="14" applyProtection="0">
      <alignment vertical="center"/>
    </xf>
    <xf numFmtId="4" fontId="23" fillId="57" borderId="14" applyProtection="0">
      <alignment horizontal="left" vertical="center" indent="1"/>
    </xf>
    <xf numFmtId="4" fontId="23" fillId="57" borderId="14" applyProtection="0">
      <alignment horizontal="left" vertical="center" indent="1"/>
    </xf>
    <xf numFmtId="0" fontId="22" fillId="34" borderId="14" applyNumberFormat="0" applyProtection="0">
      <alignment horizontal="left" vertical="center" indent="1"/>
    </xf>
    <xf numFmtId="4" fontId="23" fillId="36" borderId="14" applyProtection="0">
      <alignment horizontal="right" vertical="center"/>
    </xf>
    <xf numFmtId="4" fontId="23" fillId="37" borderId="14" applyProtection="0">
      <alignment horizontal="right" vertical="center"/>
    </xf>
    <xf numFmtId="4" fontId="23" fillId="52" borderId="14" applyProtection="0">
      <alignment horizontal="right" vertical="center"/>
    </xf>
    <xf numFmtId="4" fontId="23" fillId="46" borderId="14" applyProtection="0">
      <alignment horizontal="right" vertical="center"/>
    </xf>
    <xf numFmtId="4" fontId="23" fillId="50" borderId="14" applyProtection="0">
      <alignment horizontal="right" vertical="center"/>
    </xf>
    <xf numFmtId="4" fontId="23" fillId="54" borderId="14" applyProtection="0">
      <alignment horizontal="right" vertical="center"/>
    </xf>
    <xf numFmtId="4" fontId="23" fillId="35" borderId="14" applyProtection="0">
      <alignment horizontal="right" vertical="center"/>
    </xf>
    <xf numFmtId="4" fontId="23" fillId="58" borderId="14" applyProtection="0">
      <alignment horizontal="right" vertical="center"/>
    </xf>
    <xf numFmtId="4" fontId="23" fillId="45" borderId="14" applyProtection="0">
      <alignment horizontal="right" vertical="center"/>
    </xf>
    <xf numFmtId="4" fontId="24" fillId="59" borderId="14" applyProtection="0">
      <alignment horizontal="left" vertical="center" indent="1"/>
    </xf>
    <xf numFmtId="4" fontId="23" fillId="60" borderId="15" applyProtection="0">
      <alignment horizontal="left" vertical="center" indent="1"/>
    </xf>
    <xf numFmtId="4" fontId="38" fillId="61" borderId="0" applyProtection="0">
      <alignment horizontal="left" vertical="center" indent="1"/>
    </xf>
    <xf numFmtId="0" fontId="22" fillId="34" borderId="14" applyNumberFormat="0" applyProtection="0">
      <alignment horizontal="left" vertical="center" indent="1"/>
    </xf>
    <xf numFmtId="4" fontId="23" fillId="60" borderId="14" applyProtection="0">
      <alignment horizontal="left" vertical="center" indent="1"/>
    </xf>
    <xf numFmtId="4" fontId="23" fillId="62" borderId="14" applyProtection="0">
      <alignment horizontal="left" vertical="center" indent="1"/>
    </xf>
    <xf numFmtId="0" fontId="22" fillId="62" borderId="14" applyNumberFormat="0" applyProtection="0">
      <alignment horizontal="left" vertical="center" indent="1"/>
    </xf>
    <xf numFmtId="0" fontId="22" fillId="62" borderId="14" applyNumberFormat="0" applyProtection="0">
      <alignment horizontal="left" vertical="center" indent="1"/>
    </xf>
    <xf numFmtId="0" fontId="22" fillId="39" borderId="14" applyNumberFormat="0" applyProtection="0">
      <alignment horizontal="left" vertical="center" indent="1"/>
    </xf>
    <xf numFmtId="0" fontId="22" fillId="39" borderId="14" applyNumberFormat="0" applyProtection="0">
      <alignment horizontal="left" vertical="center" indent="1"/>
    </xf>
    <xf numFmtId="0" fontId="22" fillId="49" borderId="14" applyNumberFormat="0" applyProtection="0">
      <alignment horizontal="left" vertical="center" indent="1"/>
    </xf>
    <xf numFmtId="0" fontId="22" fillId="49" borderId="14" applyNumberFormat="0" applyProtection="0">
      <alignment horizontal="left" vertical="center" indent="1"/>
    </xf>
    <xf numFmtId="0" fontId="22" fillId="34" borderId="14" applyNumberFormat="0" applyProtection="0">
      <alignment horizontal="left" vertical="center" indent="1"/>
    </xf>
    <xf numFmtId="0" fontId="22" fillId="34" borderId="14" applyNumberFormat="0" applyProtection="0">
      <alignment horizontal="left" vertical="center" indent="1"/>
    </xf>
    <xf numFmtId="4" fontId="23" fillId="56" borderId="14" applyProtection="0">
      <alignment vertical="center"/>
    </xf>
    <xf numFmtId="4" fontId="37" fillId="56" borderId="14" applyProtection="0">
      <alignment vertical="center"/>
    </xf>
    <xf numFmtId="4" fontId="23" fillId="56" borderId="14" applyProtection="0">
      <alignment horizontal="left" vertical="center" indent="1"/>
    </xf>
    <xf numFmtId="4" fontId="23" fillId="56" borderId="14" applyProtection="0">
      <alignment horizontal="left" vertical="center" indent="1"/>
    </xf>
    <xf numFmtId="4" fontId="23" fillId="41" borderId="16" applyProtection="0">
      <alignment horizontal="right" vertical="center"/>
    </xf>
    <xf numFmtId="4" fontId="37" fillId="60" borderId="14" applyProtection="0">
      <alignment horizontal="right" vertical="center"/>
    </xf>
    <xf numFmtId="4" fontId="23" fillId="55" borderId="16" applyProtection="0">
      <alignment horizontal="left" vertical="center" indent="1"/>
    </xf>
    <xf numFmtId="0" fontId="22" fillId="34" borderId="14" applyNumberFormat="0" applyProtection="0">
      <alignment horizontal="left" vertical="center" indent="1"/>
    </xf>
    <xf numFmtId="0" fontId="39" fillId="0" borderId="0"/>
    <xf numFmtId="4" fontId="27" fillId="60" borderId="14" applyProtection="0">
      <alignment horizontal="right" vertical="center"/>
    </xf>
    <xf numFmtId="0" fontId="40" fillId="38" borderId="0" applyNumberFormat="0" applyBorder="0" applyAlignment="0" applyProtection="0"/>
    <xf numFmtId="0" fontId="40" fillId="38" borderId="0" applyNumberFormat="0" applyBorder="0" applyAlignment="0" applyProtection="0"/>
    <xf numFmtId="0" fontId="40" fillId="38" borderId="0" applyNumberFormat="0" applyBorder="0" applyAlignment="0" applyProtection="0"/>
    <xf numFmtId="0" fontId="40" fillId="38" borderId="0" applyNumberFormat="0" applyBorder="0" applyAlignment="0" applyProtection="0"/>
    <xf numFmtId="0" fontId="40" fillId="38" borderId="0" applyNumberFormat="0" applyBorder="0" applyAlignment="0" applyProtection="0"/>
    <xf numFmtId="0" fontId="40" fillId="38" borderId="0" applyNumberFormat="0" applyBorder="0" applyAlignment="0" applyProtection="0"/>
    <xf numFmtId="0" fontId="40" fillId="39" borderId="0" applyNumberFormat="0" applyBorder="0" applyAlignment="0" applyProtection="0"/>
    <xf numFmtId="0" fontId="41" fillId="49" borderId="14" applyNumberFormat="0" applyAlignment="0" applyProtection="0"/>
    <xf numFmtId="0" fontId="41" fillId="49" borderId="14" applyNumberFormat="0" applyAlignment="0" applyProtection="0"/>
    <xf numFmtId="0" fontId="41" fillId="49" borderId="14" applyNumberFormat="0" applyAlignment="0" applyProtection="0"/>
    <xf numFmtId="0" fontId="41" fillId="49" borderId="14" applyNumberFormat="0" applyAlignment="0" applyProtection="0"/>
    <xf numFmtId="0" fontId="41" fillId="49" borderId="14" applyNumberFormat="0" applyAlignment="0" applyProtection="0"/>
    <xf numFmtId="0" fontId="41" fillId="49" borderId="14" applyNumberFormat="0" applyAlignment="0" applyProtection="0"/>
    <xf numFmtId="0" fontId="41" fillId="55" borderId="14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7" applyNumberFormat="0" applyFill="0" applyAlignment="0" applyProtection="0"/>
    <xf numFmtId="0" fontId="46" fillId="0" borderId="17" applyNumberFormat="0" applyFill="0" applyAlignment="0" applyProtection="0"/>
    <xf numFmtId="0" fontId="46" fillId="0" borderId="17" applyNumberFormat="0" applyFill="0" applyAlignment="0" applyProtection="0"/>
    <xf numFmtId="0" fontId="46" fillId="0" borderId="17" applyNumberFormat="0" applyFill="0" applyAlignment="0" applyProtection="0"/>
    <xf numFmtId="0" fontId="46" fillId="0" borderId="17" applyNumberFormat="0" applyFill="0" applyAlignment="0" applyProtection="0"/>
    <xf numFmtId="0" fontId="46" fillId="0" borderId="17" applyNumberFormat="0" applyFill="0" applyAlignment="0" applyProtection="0"/>
    <xf numFmtId="0" fontId="47" fillId="0" borderId="17" applyNumberFormat="0" applyFill="0" applyAlignment="0" applyProtection="0"/>
    <xf numFmtId="0" fontId="48" fillId="0" borderId="18" applyNumberFormat="0" applyFill="0" applyAlignment="0" applyProtection="0"/>
    <xf numFmtId="0" fontId="48" fillId="0" borderId="18" applyNumberFormat="0" applyFill="0" applyAlignment="0" applyProtection="0"/>
    <xf numFmtId="0" fontId="48" fillId="0" borderId="18" applyNumberFormat="0" applyFill="0" applyAlignment="0" applyProtection="0"/>
    <xf numFmtId="0" fontId="48" fillId="0" borderId="18" applyNumberFormat="0" applyFill="0" applyAlignment="0" applyProtection="0"/>
    <xf numFmtId="0" fontId="48" fillId="0" borderId="18" applyNumberFormat="0" applyFill="0" applyAlignment="0" applyProtection="0"/>
    <xf numFmtId="0" fontId="48" fillId="0" borderId="18" applyNumberFormat="0" applyFill="0" applyAlignment="0" applyProtection="0"/>
    <xf numFmtId="0" fontId="49" fillId="0" borderId="19" applyNumberFormat="0" applyFill="0" applyAlignment="0" applyProtection="0"/>
    <xf numFmtId="0" fontId="50" fillId="0" borderId="20" applyNumberFormat="0" applyFill="0" applyAlignment="0" applyProtection="0"/>
    <xf numFmtId="0" fontId="50" fillId="0" borderId="20" applyNumberFormat="0" applyFill="0" applyAlignment="0" applyProtection="0"/>
    <xf numFmtId="0" fontId="50" fillId="0" borderId="20" applyNumberFormat="0" applyFill="0" applyAlignment="0" applyProtection="0"/>
    <xf numFmtId="0" fontId="50" fillId="0" borderId="20" applyNumberFormat="0" applyFill="0" applyAlignment="0" applyProtection="0"/>
    <xf numFmtId="0" fontId="50" fillId="0" borderId="20" applyNumberFormat="0" applyFill="0" applyAlignment="0" applyProtection="0"/>
    <xf numFmtId="0" fontId="50" fillId="0" borderId="20" applyNumberFormat="0" applyFill="0" applyAlignment="0" applyProtection="0"/>
    <xf numFmtId="0" fontId="51" fillId="0" borderId="21" applyNumberFormat="0" applyFill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2" applyNumberFormat="0" applyFill="0" applyAlignment="0" applyProtection="0"/>
    <xf numFmtId="0" fontId="53" fillId="39" borderId="23" applyNumberFormat="0" applyAlignment="0" applyProtection="0"/>
    <xf numFmtId="0" fontId="53" fillId="39" borderId="23" applyNumberFormat="0" applyAlignment="0" applyProtection="0"/>
    <xf numFmtId="0" fontId="53" fillId="39" borderId="23" applyNumberFormat="0" applyAlignment="0" applyProtection="0"/>
    <xf numFmtId="0" fontId="53" fillId="39" borderId="23" applyNumberFormat="0" applyAlignment="0" applyProtection="0"/>
    <xf numFmtId="0" fontId="53" fillId="39" borderId="23" applyNumberFormat="0" applyAlignment="0" applyProtection="0"/>
    <xf numFmtId="0" fontId="53" fillId="39" borderId="23" applyNumberFormat="0" applyAlignment="0" applyProtection="0"/>
    <xf numFmtId="0" fontId="53" fillId="49" borderId="23" applyNumberFormat="0" applyAlignment="0" applyProtection="0"/>
    <xf numFmtId="165" fontId="22" fillId="0" borderId="0"/>
    <xf numFmtId="168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2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22" fillId="0" borderId="0" applyFont="0" applyFill="0" applyBorder="0" applyAlignment="0" applyProtection="0"/>
    <xf numFmtId="44" fontId="22" fillId="0" borderId="0"/>
    <xf numFmtId="44" fontId="22" fillId="0" borderId="0"/>
    <xf numFmtId="42" fontId="22" fillId="0" borderId="0"/>
    <xf numFmtId="43" fontId="22" fillId="0" borderId="0"/>
    <xf numFmtId="41" fontId="22" fillId="0" borderId="0"/>
    <xf numFmtId="43" fontId="3" fillId="0" borderId="0" applyFont="0" applyFill="0" applyBorder="0" applyAlignment="0" applyProtection="0"/>
    <xf numFmtId="44" fontId="22" fillId="0" borderId="0"/>
    <xf numFmtId="42" fontId="22" fillId="0" borderId="0"/>
    <xf numFmtId="43" fontId="22" fillId="0" borderId="0"/>
    <xf numFmtId="41" fontId="22" fillId="0" borderId="0"/>
    <xf numFmtId="44" fontId="22" fillId="0" borderId="0"/>
    <xf numFmtId="43" fontId="22" fillId="0" borderId="0"/>
    <xf numFmtId="43" fontId="22" fillId="0" borderId="0"/>
    <xf numFmtId="44" fontId="22" fillId="0" borderId="0"/>
    <xf numFmtId="44" fontId="29" fillId="0" borderId="0" applyFill="0" applyBorder="0" applyAlignment="0" applyProtection="0"/>
    <xf numFmtId="43" fontId="22" fillId="0" borderId="0"/>
    <xf numFmtId="44" fontId="22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2" fillId="0" borderId="0"/>
    <xf numFmtId="9" fontId="3" fillId="0" borderId="0" applyFont="0" applyFill="0" applyBorder="0" applyAlignment="0" applyProtection="0"/>
    <xf numFmtId="0" fontId="63" fillId="0" borderId="0"/>
    <xf numFmtId="0" fontId="64" fillId="4" borderId="0" applyNumberFormat="0" applyBorder="0" applyAlignment="0" applyProtection="0"/>
    <xf numFmtId="164" fontId="22" fillId="0" borderId="0"/>
    <xf numFmtId="171" fontId="22" fillId="0" borderId="0"/>
    <xf numFmtId="44" fontId="22" fillId="0" borderId="0"/>
    <xf numFmtId="42" fontId="22" fillId="0" borderId="0"/>
    <xf numFmtId="0" fontId="66" fillId="3" borderId="0" applyNumberFormat="0" applyBorder="0" applyAlignment="0" applyProtection="0"/>
    <xf numFmtId="0" fontId="67" fillId="2" borderId="0" applyNumberFormat="0" applyBorder="0" applyAlignment="0" applyProtection="0"/>
    <xf numFmtId="0" fontId="3" fillId="0" borderId="0"/>
    <xf numFmtId="0" fontId="22" fillId="0" borderId="0" applyNumberFormat="0" applyFill="0" applyBorder="0" applyAlignment="0" applyProtection="0"/>
    <xf numFmtId="44" fontId="22" fillId="0" borderId="0"/>
    <xf numFmtId="44" fontId="22" fillId="0" borderId="0"/>
    <xf numFmtId="164" fontId="22" fillId="0" borderId="0"/>
    <xf numFmtId="164" fontId="22" fillId="0" borderId="0"/>
    <xf numFmtId="44" fontId="22" fillId="0" borderId="0"/>
    <xf numFmtId="44" fontId="22" fillId="0" borderId="0"/>
    <xf numFmtId="164" fontId="22" fillId="0" borderId="0"/>
    <xf numFmtId="44" fontId="22" fillId="0" borderId="0"/>
    <xf numFmtId="164" fontId="22" fillId="0" borderId="0"/>
    <xf numFmtId="164" fontId="22" fillId="0" borderId="0"/>
    <xf numFmtId="44" fontId="22" fillId="0" borderId="0"/>
    <xf numFmtId="164" fontId="22" fillId="0" borderId="0"/>
    <xf numFmtId="44" fontId="22" fillId="0" borderId="0"/>
    <xf numFmtId="164" fontId="22" fillId="0" borderId="0"/>
    <xf numFmtId="164" fontId="22" fillId="0" borderId="0"/>
    <xf numFmtId="171" fontId="22" fillId="0" borderId="0"/>
    <xf numFmtId="44" fontId="22" fillId="0" borderId="0"/>
    <xf numFmtId="42" fontId="22" fillId="0" borderId="0"/>
    <xf numFmtId="0" fontId="3" fillId="0" borderId="0"/>
    <xf numFmtId="0" fontId="69" fillId="0" borderId="0"/>
    <xf numFmtId="0" fontId="70" fillId="72" borderId="0" applyNumberFormat="0" applyBorder="0" applyAlignment="0" applyProtection="0"/>
    <xf numFmtId="0" fontId="22" fillId="74" borderId="11" applyNumberFormat="0" applyFont="0" applyAlignment="0" applyProtection="0"/>
    <xf numFmtId="44" fontId="22" fillId="0" borderId="0" applyFont="0" applyFill="0" applyBorder="0" applyAlignment="0" applyProtection="0"/>
    <xf numFmtId="0" fontId="69" fillId="0" borderId="0"/>
    <xf numFmtId="0" fontId="68" fillId="0" borderId="0"/>
    <xf numFmtId="0" fontId="68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22" fillId="0" borderId="0"/>
    <xf numFmtId="9" fontId="61" fillId="0" borderId="0" applyFont="0" applyFill="0" applyBorder="0" applyAlignment="0" applyProtection="0"/>
    <xf numFmtId="9" fontId="68" fillId="0" borderId="0" applyFont="0" applyFill="0" applyBorder="0" applyAlignment="0" applyProtection="0"/>
    <xf numFmtId="0" fontId="69" fillId="74" borderId="28" applyNumberFormat="0" applyFont="0" applyAlignment="0" applyProtection="0"/>
    <xf numFmtId="0" fontId="61" fillId="0" borderId="0"/>
    <xf numFmtId="0" fontId="22" fillId="0" borderId="0" applyNumberFormat="0" applyFill="0" applyBorder="0" applyAlignment="0" applyProtection="0"/>
    <xf numFmtId="0" fontId="23" fillId="76" borderId="0"/>
    <xf numFmtId="0" fontId="71" fillId="0" borderId="19" applyNumberFormat="0" applyFill="0" applyAlignment="0" applyProtection="0"/>
    <xf numFmtId="0" fontId="53" fillId="75" borderId="23" applyNumberFormat="0" applyAlignment="0" applyProtection="0"/>
    <xf numFmtId="0" fontId="63" fillId="0" borderId="0"/>
    <xf numFmtId="0" fontId="72" fillId="74" borderId="11" applyNumberFormat="0" applyFont="0" applyAlignment="0" applyProtection="0"/>
    <xf numFmtId="172" fontId="69" fillId="0" borderId="0" applyFont="0" applyFill="0" applyBorder="0" applyAlignment="0" applyProtection="0"/>
    <xf numFmtId="0" fontId="28" fillId="0" borderId="0"/>
    <xf numFmtId="164" fontId="68" fillId="0" borderId="0" applyFont="0" applyFill="0" applyBorder="0" applyAlignment="0" applyProtection="0"/>
    <xf numFmtId="0" fontId="22" fillId="0" borderId="0"/>
    <xf numFmtId="0" fontId="73" fillId="75" borderId="23" applyNumberFormat="0" applyAlignment="0" applyProtection="0"/>
    <xf numFmtId="0" fontId="61" fillId="0" borderId="0"/>
    <xf numFmtId="0" fontId="75" fillId="0" borderId="0"/>
    <xf numFmtId="0" fontId="69" fillId="0" borderId="0"/>
    <xf numFmtId="0" fontId="22" fillId="74" borderId="11" applyNumberFormat="0" applyFont="0" applyAlignment="0" applyProtection="0"/>
    <xf numFmtId="44" fontId="22" fillId="0" borderId="0" applyFont="0" applyFill="0" applyBorder="0" applyAlignment="0" applyProtection="0"/>
    <xf numFmtId="0" fontId="63" fillId="0" borderId="0"/>
    <xf numFmtId="0" fontId="40" fillId="73" borderId="0" applyNumberFormat="0" applyBorder="0" applyAlignment="0" applyProtection="0"/>
    <xf numFmtId="0" fontId="50" fillId="0" borderId="29" applyNumberFormat="0" applyFill="0" applyAlignment="0" applyProtection="0"/>
    <xf numFmtId="0" fontId="53" fillId="75" borderId="23" applyNumberFormat="0" applyAlignment="0" applyProtection="0"/>
    <xf numFmtId="0" fontId="74" fillId="0" borderId="0"/>
    <xf numFmtId="0" fontId="69" fillId="0" borderId="0"/>
    <xf numFmtId="0" fontId="69" fillId="0" borderId="0">
      <alignment vertical="center"/>
    </xf>
    <xf numFmtId="0" fontId="3" fillId="0" borderId="0"/>
    <xf numFmtId="0" fontId="22" fillId="74" borderId="11" applyNumberFormat="0" applyFont="0" applyAlignment="0" applyProtection="0"/>
    <xf numFmtId="0" fontId="22" fillId="74" borderId="11" applyNumberFormat="0" applyFont="0" applyAlignment="0" applyProtection="0"/>
    <xf numFmtId="0" fontId="72" fillId="74" borderId="11" applyNumberFormat="0" applyFont="0" applyAlignment="0" applyProtection="0"/>
    <xf numFmtId="0" fontId="69" fillId="0" borderId="0"/>
    <xf numFmtId="0" fontId="65" fillId="0" borderId="0" applyNumberFormat="0" applyFill="0" applyBorder="0" applyAlignment="0" applyProtection="0"/>
    <xf numFmtId="164" fontId="22" fillId="0" borderId="0"/>
    <xf numFmtId="44" fontId="22" fillId="0" borderId="0"/>
    <xf numFmtId="42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2" fontId="22" fillId="0" borderId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0" fontId="3" fillId="0" borderId="0"/>
    <xf numFmtId="0" fontId="3" fillId="0" borderId="0"/>
    <xf numFmtId="44" fontId="22" fillId="0" borderId="0"/>
    <xf numFmtId="43" fontId="22" fillId="0" borderId="0"/>
    <xf numFmtId="0" fontId="50" fillId="0" borderId="29" applyNumberFormat="0" applyFill="0" applyAlignment="0" applyProtection="0"/>
    <xf numFmtId="0" fontId="50" fillId="0" borderId="29" applyNumberFormat="0" applyFill="0" applyAlignment="0" applyProtection="0"/>
    <xf numFmtId="0" fontId="50" fillId="0" borderId="29" applyNumberFormat="0" applyFill="0" applyAlignment="0" applyProtection="0"/>
    <xf numFmtId="0" fontId="50" fillId="0" borderId="29" applyNumberFormat="0" applyFill="0" applyAlignment="0" applyProtection="0"/>
    <xf numFmtId="0" fontId="50" fillId="0" borderId="29" applyNumberFormat="0" applyFill="0" applyAlignment="0" applyProtection="0"/>
    <xf numFmtId="43" fontId="22" fillId="0" borderId="0" applyFont="0" applyFill="0" applyBorder="0" applyAlignment="0" applyProtection="0"/>
    <xf numFmtId="44" fontId="22" fillId="0" borderId="0"/>
    <xf numFmtId="44" fontId="22" fillId="0" borderId="0"/>
    <xf numFmtId="42" fontId="22" fillId="0" borderId="0"/>
    <xf numFmtId="43" fontId="22" fillId="0" borderId="0"/>
    <xf numFmtId="41" fontId="22" fillId="0" borderId="0"/>
    <xf numFmtId="43" fontId="3" fillId="0" borderId="0" applyFont="0" applyFill="0" applyBorder="0" applyAlignment="0" applyProtection="0"/>
    <xf numFmtId="44" fontId="22" fillId="0" borderId="0"/>
    <xf numFmtId="42" fontId="22" fillId="0" borderId="0"/>
    <xf numFmtId="43" fontId="22" fillId="0" borderId="0"/>
    <xf numFmtId="41" fontId="22" fillId="0" borderId="0"/>
    <xf numFmtId="44" fontId="22" fillId="0" borderId="0"/>
    <xf numFmtId="43" fontId="22" fillId="0" borderId="0"/>
    <xf numFmtId="43" fontId="22" fillId="0" borderId="0"/>
    <xf numFmtId="44" fontId="22" fillId="0" borderId="0"/>
    <xf numFmtId="44" fontId="29" fillId="0" borderId="0" applyFill="0" applyBorder="0" applyAlignment="0" applyProtection="0"/>
    <xf numFmtId="43" fontId="22" fillId="0" borderId="0"/>
    <xf numFmtId="44" fontId="22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2" fillId="0" borderId="0"/>
    <xf numFmtId="44" fontId="22" fillId="0" borderId="0"/>
    <xf numFmtId="42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2" fontId="22" fillId="0" borderId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0" fontId="77" fillId="0" borderId="0" applyNumberFormat="0" applyFill="0" applyBorder="0" applyAlignment="0" applyProtection="0"/>
    <xf numFmtId="44" fontId="22" fillId="0" borderId="0"/>
    <xf numFmtId="43" fontId="22" fillId="0" borderId="0"/>
    <xf numFmtId="43" fontId="22" fillId="0" borderId="0" applyFont="0" applyFill="0" applyBorder="0" applyAlignment="0" applyProtection="0"/>
    <xf numFmtId="44" fontId="22" fillId="0" borderId="0"/>
    <xf numFmtId="44" fontId="22" fillId="0" borderId="0"/>
    <xf numFmtId="42" fontId="22" fillId="0" borderId="0"/>
    <xf numFmtId="43" fontId="22" fillId="0" borderId="0"/>
    <xf numFmtId="41" fontId="22" fillId="0" borderId="0"/>
    <xf numFmtId="43" fontId="3" fillId="0" borderId="0" applyFont="0" applyFill="0" applyBorder="0" applyAlignment="0" applyProtection="0"/>
    <xf numFmtId="44" fontId="22" fillId="0" borderId="0"/>
    <xf numFmtId="42" fontId="22" fillId="0" borderId="0"/>
    <xf numFmtId="43" fontId="22" fillId="0" borderId="0"/>
    <xf numFmtId="41" fontId="22" fillId="0" borderId="0"/>
    <xf numFmtId="44" fontId="22" fillId="0" borderId="0"/>
    <xf numFmtId="43" fontId="22" fillId="0" borderId="0"/>
    <xf numFmtId="43" fontId="22" fillId="0" borderId="0"/>
    <xf numFmtId="44" fontId="22" fillId="0" borderId="0"/>
    <xf numFmtId="44" fontId="29" fillId="0" borderId="0" applyFill="0" applyBorder="0" applyAlignment="0" applyProtection="0"/>
    <xf numFmtId="43" fontId="22" fillId="0" borderId="0"/>
    <xf numFmtId="44" fontId="22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2" fillId="0" borderId="0"/>
    <xf numFmtId="44" fontId="22" fillId="0" borderId="0"/>
    <xf numFmtId="42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2" fontId="22" fillId="0" borderId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/>
    <xf numFmtId="42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2" fontId="22" fillId="0" borderId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  <xf numFmtId="44" fontId="22" fillId="0" borderId="0"/>
    <xf numFmtId="43" fontId="22" fillId="0" borderId="0"/>
    <xf numFmtId="43" fontId="22" fillId="0" borderId="0" applyFont="0" applyFill="0" applyBorder="0" applyAlignment="0" applyProtection="0"/>
    <xf numFmtId="44" fontId="22" fillId="0" borderId="0"/>
    <xf numFmtId="44" fontId="22" fillId="0" borderId="0"/>
    <xf numFmtId="42" fontId="22" fillId="0" borderId="0"/>
    <xf numFmtId="43" fontId="22" fillId="0" borderId="0"/>
    <xf numFmtId="41" fontId="22" fillId="0" borderId="0"/>
    <xf numFmtId="43" fontId="3" fillId="0" borderId="0" applyFont="0" applyFill="0" applyBorder="0" applyAlignment="0" applyProtection="0"/>
    <xf numFmtId="44" fontId="22" fillId="0" borderId="0"/>
    <xf numFmtId="42" fontId="22" fillId="0" borderId="0"/>
    <xf numFmtId="43" fontId="22" fillId="0" borderId="0"/>
    <xf numFmtId="41" fontId="22" fillId="0" borderId="0"/>
    <xf numFmtId="44" fontId="22" fillId="0" borderId="0"/>
    <xf numFmtId="43" fontId="22" fillId="0" borderId="0"/>
    <xf numFmtId="43" fontId="22" fillId="0" borderId="0"/>
    <xf numFmtId="44" fontId="22" fillId="0" borderId="0"/>
    <xf numFmtId="44" fontId="29" fillId="0" borderId="0" applyFill="0" applyBorder="0" applyAlignment="0" applyProtection="0"/>
    <xf numFmtId="43" fontId="22" fillId="0" borderId="0"/>
    <xf numFmtId="44" fontId="22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2" fillId="0" borderId="0"/>
    <xf numFmtId="44" fontId="22" fillId="0" borderId="0"/>
    <xf numFmtId="42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4" fontId="22" fillId="0" borderId="0"/>
    <xf numFmtId="42" fontId="22" fillId="0" borderId="0"/>
    <xf numFmtId="44" fontId="22" fillId="0" borderId="0" applyFont="0" applyFill="0" applyBorder="0" applyAlignment="0" applyProtection="0"/>
    <xf numFmtId="44" fontId="22" fillId="0" borderId="0" applyFont="0" applyFill="0" applyBorder="0" applyAlignment="0" applyProtection="0"/>
  </cellStyleXfs>
  <cellXfs count="124">
    <xf numFmtId="0" fontId="0" fillId="0" borderId="0" xfId="0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0" fontId="54" fillId="0" borderId="0" xfId="0" applyFont="1"/>
    <xf numFmtId="0" fontId="54" fillId="0" borderId="0" xfId="0" applyFont="1" applyAlignment="1">
      <alignment horizontal="center"/>
    </xf>
    <xf numFmtId="0" fontId="55" fillId="0" borderId="0" xfId="0" applyFont="1"/>
    <xf numFmtId="170" fontId="0" fillId="0" borderId="0" xfId="0" applyNumberFormat="1"/>
    <xf numFmtId="0" fontId="0" fillId="69" borderId="0" xfId="0" applyFill="1"/>
    <xf numFmtId="170" fontId="0" fillId="69" borderId="0" xfId="0" applyNumberFormat="1" applyFill="1"/>
    <xf numFmtId="0" fontId="0" fillId="0" borderId="0" xfId="0" quotePrefix="1"/>
    <xf numFmtId="0" fontId="54" fillId="0" borderId="24" xfId="0" applyFont="1" applyBorder="1"/>
    <xf numFmtId="0" fontId="0" fillId="0" borderId="25" xfId="0" applyBorder="1"/>
    <xf numFmtId="0" fontId="0" fillId="0" borderId="25" xfId="0" applyBorder="1" applyAlignment="1">
      <alignment horizontal="center"/>
    </xf>
    <xf numFmtId="0" fontId="0" fillId="0" borderId="0" xfId="0" applyAlignment="1">
      <alignment wrapText="1"/>
    </xf>
    <xf numFmtId="0" fontId="0" fillId="33" borderId="1" xfId="0" applyFill="1" applyBorder="1" applyProtection="1"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Fill="1" applyAlignment="1">
      <alignment horizontal="center"/>
    </xf>
    <xf numFmtId="0" fontId="0" fillId="0" borderId="0" xfId="0" applyFill="1"/>
    <xf numFmtId="0" fontId="59" fillId="0" borderId="32" xfId="561" quotePrefix="1" applyNumberFormat="1" applyFont="1" applyBorder="1" applyAlignment="1" applyProtection="1">
      <alignment horizontal="center" vertical="center"/>
      <protection locked="0"/>
    </xf>
    <xf numFmtId="0" fontId="59" fillId="0" borderId="33" xfId="0" quotePrefix="1" applyFont="1" applyBorder="1" applyAlignment="1" applyProtection="1">
      <alignment horizontal="center" vertical="center"/>
      <protection locked="0"/>
    </xf>
    <xf numFmtId="0" fontId="59" fillId="0" borderId="32" xfId="0" quotePrefix="1" applyFont="1" applyBorder="1" applyAlignment="1" applyProtection="1">
      <alignment horizontal="center" vertical="center"/>
      <protection locked="0"/>
    </xf>
    <xf numFmtId="0" fontId="60" fillId="0" borderId="31" xfId="0" applyFont="1" applyBorder="1" applyAlignment="1" applyProtection="1">
      <alignment horizontal="center" vertical="center"/>
      <protection locked="0"/>
    </xf>
    <xf numFmtId="0" fontId="59" fillId="0" borderId="30" xfId="0" applyFont="1" applyBorder="1" applyAlignment="1" applyProtection="1">
      <alignment horizontal="center" vertical="center"/>
      <protection locked="0"/>
    </xf>
    <xf numFmtId="0" fontId="62" fillId="71" borderId="26" xfId="0" applyFont="1" applyFill="1" applyBorder="1" applyAlignment="1" applyProtection="1">
      <alignment horizontal="center" vertical="center"/>
      <protection locked="0"/>
    </xf>
    <xf numFmtId="0" fontId="59" fillId="0" borderId="27" xfId="562" applyFont="1" applyFill="1" applyBorder="1" applyAlignment="1" applyProtection="1">
      <alignment vertical="center"/>
      <protection locked="0"/>
    </xf>
    <xf numFmtId="0" fontId="59" fillId="0" borderId="26" xfId="562" applyFont="1" applyFill="1" applyBorder="1" applyAlignment="1" applyProtection="1">
      <alignment vertical="center"/>
      <protection locked="0"/>
    </xf>
    <xf numFmtId="0" fontId="59" fillId="0" borderId="33" xfId="0" applyFont="1" applyBorder="1" applyAlignment="1" applyProtection="1">
      <alignment horizontal="center" vertical="center"/>
      <protection locked="0"/>
    </xf>
    <xf numFmtId="0" fontId="0" fillId="78" borderId="0" xfId="0" applyFill="1"/>
    <xf numFmtId="0" fontId="0" fillId="78" borderId="0" xfId="0" applyFill="1" applyAlignment="1">
      <alignment horizontal="center"/>
    </xf>
    <xf numFmtId="0" fontId="62" fillId="77" borderId="26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Alignment="1">
      <alignment horizontal="center"/>
    </xf>
    <xf numFmtId="0" fontId="77" fillId="0" borderId="0" xfId="703" applyAlignment="1">
      <alignment wrapText="1"/>
    </xf>
    <xf numFmtId="0" fontId="78" fillId="0" borderId="33" xfId="0" quotePrefix="1" applyFont="1" applyBorder="1" applyAlignment="1" applyProtection="1">
      <alignment horizontal="center" vertical="center"/>
      <protection locked="0"/>
    </xf>
    <xf numFmtId="0" fontId="80" fillId="0" borderId="33" xfId="0" applyFont="1" applyFill="1" applyBorder="1" applyAlignment="1" applyProtection="1">
      <alignment horizontal="center" vertical="center"/>
      <protection locked="0"/>
    </xf>
    <xf numFmtId="0" fontId="81" fillId="0" borderId="33" xfId="0" applyFont="1" applyFill="1" applyBorder="1" applyAlignment="1" applyProtection="1">
      <alignment horizontal="center" vertical="center"/>
      <protection locked="0"/>
    </xf>
    <xf numFmtId="0" fontId="82" fillId="0" borderId="33" xfId="0" quotePrefix="1" applyFont="1" applyFill="1" applyBorder="1" applyAlignment="1" applyProtection="1">
      <alignment horizontal="center" vertical="center"/>
      <protection locked="0"/>
    </xf>
    <xf numFmtId="0" fontId="83" fillId="0" borderId="33" xfId="0" applyFont="1" applyBorder="1" applyAlignment="1" applyProtection="1">
      <alignment horizontal="center" vertical="center"/>
      <protection locked="0"/>
    </xf>
    <xf numFmtId="0" fontId="84" fillId="0" borderId="33" xfId="0" applyFont="1" applyBorder="1" applyAlignment="1" applyProtection="1">
      <alignment horizontal="center" vertical="center"/>
      <protection locked="0"/>
    </xf>
    <xf numFmtId="0" fontId="55" fillId="0" borderId="0" xfId="0" applyFont="1" applyAlignment="1">
      <alignment horizontal="center"/>
    </xf>
    <xf numFmtId="170" fontId="54" fillId="0" borderId="0" xfId="0" applyNumberFormat="1" applyFont="1"/>
    <xf numFmtId="170" fontId="0" fillId="70" borderId="0" xfId="0" applyNumberFormat="1" applyFill="1"/>
    <xf numFmtId="0" fontId="0" fillId="79" borderId="0" xfId="0" applyFill="1"/>
    <xf numFmtId="0" fontId="0" fillId="79" borderId="0" xfId="0" applyFill="1" applyAlignment="1">
      <alignment horizontal="center"/>
    </xf>
    <xf numFmtId="0" fontId="79" fillId="0" borderId="33" xfId="0" applyFont="1" applyBorder="1" applyAlignment="1" applyProtection="1">
      <alignment horizontal="center" vertical="center"/>
      <protection locked="0"/>
    </xf>
    <xf numFmtId="0" fontId="85" fillId="0" borderId="33" xfId="0" quotePrefix="1" applyFont="1" applyBorder="1" applyAlignment="1" applyProtection="1">
      <alignment horizontal="center" vertical="center"/>
      <protection locked="0"/>
    </xf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86" fillId="0" borderId="33" xfId="0" quotePrefix="1" applyFont="1" applyBorder="1" applyAlignment="1" applyProtection="1">
      <alignment horizontal="center" vertical="center"/>
      <protection locked="0"/>
    </xf>
    <xf numFmtId="0" fontId="87" fillId="0" borderId="33" xfId="0" applyFont="1" applyBorder="1" applyAlignment="1" applyProtection="1">
      <alignment horizontal="center" vertical="center"/>
      <protection locked="0"/>
    </xf>
    <xf numFmtId="0" fontId="88" fillId="0" borderId="33" xfId="0" applyFont="1" applyBorder="1" applyAlignment="1" applyProtection="1">
      <alignment horizontal="center" vertical="center"/>
      <protection locked="0"/>
    </xf>
    <xf numFmtId="0" fontId="0" fillId="80" borderId="0" xfId="0" applyFill="1"/>
    <xf numFmtId="0" fontId="0" fillId="80" borderId="0" xfId="0" applyFill="1" applyAlignment="1">
      <alignment horizontal="center"/>
    </xf>
    <xf numFmtId="0" fontId="0" fillId="81" borderId="0" xfId="0" applyFill="1"/>
    <xf numFmtId="0" fontId="0" fillId="81" borderId="0" xfId="0" applyFill="1" applyAlignment="1">
      <alignment horizontal="center"/>
    </xf>
    <xf numFmtId="1" fontId="2" fillId="0" borderId="37" xfId="0" applyNumberFormat="1" applyFont="1" applyBorder="1" applyAlignment="1">
      <alignment horizontal="center"/>
    </xf>
    <xf numFmtId="1" fontId="2" fillId="82" borderId="38" xfId="0" applyNumberFormat="1" applyFont="1" applyFill="1" applyBorder="1" applyAlignment="1">
      <alignment horizontal="center"/>
    </xf>
    <xf numFmtId="1" fontId="2" fillId="82" borderId="39" xfId="0" applyNumberFormat="1" applyFont="1" applyFill="1" applyBorder="1" applyAlignment="1">
      <alignment horizontal="center"/>
    </xf>
    <xf numFmtId="1" fontId="2" fillId="82" borderId="40" xfId="0" applyNumberFormat="1" applyFont="1" applyFill="1" applyBorder="1" applyAlignment="1">
      <alignment horizontal="center"/>
    </xf>
    <xf numFmtId="1" fontId="2" fillId="83" borderId="38" xfId="0" applyNumberFormat="1" applyFont="1" applyFill="1" applyBorder="1" applyAlignment="1">
      <alignment horizontal="center"/>
    </xf>
    <xf numFmtId="1" fontId="2" fillId="83" borderId="39" xfId="0" applyNumberFormat="1" applyFont="1" applyFill="1" applyBorder="1" applyAlignment="1">
      <alignment horizontal="center"/>
    </xf>
    <xf numFmtId="1" fontId="2" fillId="83" borderId="40" xfId="0" applyNumberFormat="1" applyFont="1" applyFill="1" applyBorder="1" applyAlignment="1">
      <alignment horizontal="center"/>
    </xf>
    <xf numFmtId="1" fontId="2" fillId="81" borderId="38" xfId="0" applyNumberFormat="1" applyFont="1" applyFill="1" applyBorder="1" applyAlignment="1">
      <alignment horizontal="center"/>
    </xf>
    <xf numFmtId="1" fontId="2" fillId="81" borderId="39" xfId="0" applyNumberFormat="1" applyFont="1" applyFill="1" applyBorder="1" applyAlignment="1">
      <alignment horizontal="center"/>
    </xf>
    <xf numFmtId="1" fontId="2" fillId="81" borderId="40" xfId="0" applyNumberFormat="1" applyFont="1" applyFill="1" applyBorder="1" applyAlignment="1">
      <alignment horizontal="center"/>
    </xf>
    <xf numFmtId="1" fontId="0" fillId="0" borderId="41" xfId="561" applyNumberFormat="1" applyFont="1" applyBorder="1" applyAlignment="1">
      <alignment horizontal="center"/>
    </xf>
    <xf numFmtId="1" fontId="0" fillId="82" borderId="42" xfId="561" applyNumberFormat="1" applyFont="1" applyFill="1" applyBorder="1" applyAlignment="1">
      <alignment horizontal="center"/>
    </xf>
    <xf numFmtId="1" fontId="0" fillId="82" borderId="1" xfId="561" applyNumberFormat="1" applyFont="1" applyFill="1" applyBorder="1" applyAlignment="1">
      <alignment horizontal="center"/>
    </xf>
    <xf numFmtId="1" fontId="0" fillId="82" borderId="43" xfId="561" applyNumberFormat="1" applyFont="1" applyFill="1" applyBorder="1" applyAlignment="1">
      <alignment horizontal="center"/>
    </xf>
    <xf numFmtId="1" fontId="0" fillId="82" borderId="44" xfId="561" applyNumberFormat="1" applyFont="1" applyFill="1" applyBorder="1" applyAlignment="1">
      <alignment horizontal="center"/>
    </xf>
    <xf numFmtId="1" fontId="0" fillId="82" borderId="45" xfId="561" applyNumberFormat="1" applyFont="1" applyFill="1" applyBorder="1" applyAlignment="1">
      <alignment horizontal="center"/>
    </xf>
    <xf numFmtId="1" fontId="0" fillId="83" borderId="42" xfId="561" applyNumberFormat="1" applyFont="1" applyFill="1" applyBorder="1" applyAlignment="1">
      <alignment horizontal="center"/>
    </xf>
    <xf numFmtId="1" fontId="0" fillId="83" borderId="1" xfId="561" applyNumberFormat="1" applyFont="1" applyFill="1" applyBorder="1" applyAlignment="1">
      <alignment horizontal="center"/>
    </xf>
    <xf numFmtId="1" fontId="0" fillId="83" borderId="44" xfId="561" applyNumberFormat="1" applyFont="1" applyFill="1" applyBorder="1" applyAlignment="1">
      <alignment horizontal="center"/>
    </xf>
    <xf numFmtId="1" fontId="0" fillId="83" borderId="45" xfId="561" applyNumberFormat="1" applyFont="1" applyFill="1" applyBorder="1" applyAlignment="1">
      <alignment horizontal="center"/>
    </xf>
    <xf numFmtId="1" fontId="0" fillId="83" borderId="46" xfId="561" applyNumberFormat="1" applyFont="1" applyFill="1" applyBorder="1" applyAlignment="1">
      <alignment horizontal="center"/>
    </xf>
    <xf numFmtId="1" fontId="0" fillId="81" borderId="46" xfId="561" applyNumberFormat="1" applyFont="1" applyFill="1" applyBorder="1" applyAlignment="1">
      <alignment horizontal="center"/>
    </xf>
    <xf numFmtId="1" fontId="0" fillId="81" borderId="1" xfId="561" applyNumberFormat="1" applyFont="1" applyFill="1" applyBorder="1" applyAlignment="1">
      <alignment horizontal="center"/>
    </xf>
    <xf numFmtId="1" fontId="0" fillId="81" borderId="44" xfId="561" applyNumberFormat="1" applyFont="1" applyFill="1" applyBorder="1" applyAlignment="1">
      <alignment horizontal="center"/>
    </xf>
    <xf numFmtId="1" fontId="0" fillId="81" borderId="43" xfId="561" applyNumberFormat="1" applyFont="1" applyFill="1" applyBorder="1" applyAlignment="1">
      <alignment horizontal="center"/>
    </xf>
    <xf numFmtId="1" fontId="76" fillId="0" borderId="41" xfId="561" applyNumberFormat="1" applyFont="1" applyBorder="1" applyAlignment="1">
      <alignment horizontal="center"/>
    </xf>
    <xf numFmtId="1" fontId="0" fillId="81" borderId="42" xfId="561" applyNumberFormat="1" applyFont="1" applyFill="1" applyBorder="1" applyAlignment="1">
      <alignment horizontal="center"/>
    </xf>
    <xf numFmtId="1" fontId="2" fillId="0" borderId="37" xfId="0" applyNumberFormat="1" applyFont="1" applyBorder="1" applyAlignment="1">
      <alignment horizontal="center" vertical="center"/>
    </xf>
    <xf numFmtId="1" fontId="2" fillId="82" borderId="47" xfId="0" applyNumberFormat="1" applyFont="1" applyFill="1" applyBorder="1" applyAlignment="1">
      <alignment horizontal="center"/>
    </xf>
    <xf numFmtId="1" fontId="2" fillId="0" borderId="0" xfId="0" applyNumberFormat="1" applyFont="1"/>
    <xf numFmtId="1" fontId="0" fillId="0" borderId="41" xfId="0" applyNumberFormat="1" applyBorder="1" applyAlignment="1">
      <alignment horizontal="center" vertical="center"/>
    </xf>
    <xf numFmtId="1" fontId="0" fillId="82" borderId="48" xfId="0" applyNumberFormat="1" applyFill="1" applyBorder="1" applyAlignment="1">
      <alignment horizontal="center"/>
    </xf>
    <xf numFmtId="1" fontId="0" fillId="82" borderId="1" xfId="0" applyNumberFormat="1" applyFill="1" applyBorder="1" applyAlignment="1">
      <alignment horizontal="center"/>
    </xf>
    <xf numFmtId="1" fontId="0" fillId="82" borderId="43" xfId="0" applyNumberFormat="1" applyFill="1" applyBorder="1" applyAlignment="1">
      <alignment horizontal="center"/>
    </xf>
    <xf numFmtId="1" fontId="0" fillId="82" borderId="42" xfId="0" applyNumberFormat="1" applyFill="1" applyBorder="1" applyAlignment="1">
      <alignment horizontal="center"/>
    </xf>
    <xf numFmtId="1" fontId="0" fillId="82" borderId="44" xfId="0" applyNumberFormat="1" applyFill="1" applyBorder="1" applyAlignment="1">
      <alignment horizontal="center"/>
    </xf>
    <xf numFmtId="1" fontId="0" fillId="82" borderId="45" xfId="0" applyNumberFormat="1" applyFill="1" applyBorder="1" applyAlignment="1">
      <alignment horizontal="center"/>
    </xf>
    <xf numFmtId="1" fontId="0" fillId="83" borderId="42" xfId="0" applyNumberFormat="1" applyFill="1" applyBorder="1" applyAlignment="1">
      <alignment horizontal="center"/>
    </xf>
    <xf numFmtId="1" fontId="0" fillId="83" borderId="1" xfId="0" applyNumberFormat="1" applyFill="1" applyBorder="1" applyAlignment="1">
      <alignment horizontal="center"/>
    </xf>
    <xf numFmtId="1" fontId="0" fillId="83" borderId="44" xfId="0" applyNumberFormat="1" applyFill="1" applyBorder="1" applyAlignment="1">
      <alignment horizontal="center"/>
    </xf>
    <xf numFmtId="1" fontId="0" fillId="83" borderId="45" xfId="0" applyNumberFormat="1" applyFill="1" applyBorder="1" applyAlignment="1">
      <alignment horizontal="center"/>
    </xf>
    <xf numFmtId="1" fontId="0" fillId="81" borderId="42" xfId="0" applyNumberFormat="1" applyFill="1" applyBorder="1" applyAlignment="1">
      <alignment horizontal="center"/>
    </xf>
    <xf numFmtId="1" fontId="0" fillId="81" borderId="1" xfId="0" applyNumberFormat="1" applyFill="1" applyBorder="1" applyAlignment="1">
      <alignment horizontal="center"/>
    </xf>
    <xf numFmtId="1" fontId="0" fillId="81" borderId="44" xfId="0" applyNumberFormat="1" applyFill="1" applyBorder="1" applyAlignment="1">
      <alignment horizontal="center"/>
    </xf>
    <xf numFmtId="1" fontId="0" fillId="81" borderId="43" xfId="0" applyNumberFormat="1" applyFill="1" applyBorder="1" applyAlignment="1">
      <alignment horizontal="center"/>
    </xf>
    <xf numFmtId="1" fontId="0" fillId="0" borderId="0" xfId="0" applyNumberFormat="1"/>
    <xf numFmtId="1" fontId="0" fillId="82" borderId="34" xfId="0" applyNumberFormat="1" applyFill="1" applyBorder="1" applyAlignment="1">
      <alignment horizontal="center"/>
    </xf>
    <xf numFmtId="1" fontId="0" fillId="82" borderId="49" xfId="0" applyNumberFormat="1" applyFill="1" applyBorder="1" applyAlignment="1">
      <alignment horizontal="center"/>
    </xf>
    <xf numFmtId="1" fontId="0" fillId="82" borderId="50" xfId="0" applyNumberFormat="1" applyFill="1" applyBorder="1" applyAlignment="1">
      <alignment horizontal="center"/>
    </xf>
    <xf numFmtId="1" fontId="0" fillId="82" borderId="51" xfId="0" applyNumberFormat="1" applyFill="1" applyBorder="1" applyAlignment="1">
      <alignment horizontal="center"/>
    </xf>
    <xf numFmtId="1" fontId="0" fillId="82" borderId="52" xfId="0" applyNumberFormat="1" applyFill="1" applyBorder="1" applyAlignment="1">
      <alignment horizontal="center"/>
    </xf>
    <xf numFmtId="1" fontId="0" fillId="82" borderId="53" xfId="0" applyNumberFormat="1" applyFill="1" applyBorder="1" applyAlignment="1">
      <alignment horizontal="center"/>
    </xf>
    <xf numFmtId="1" fontId="0" fillId="83" borderId="51" xfId="0" applyNumberFormat="1" applyFill="1" applyBorder="1" applyAlignment="1">
      <alignment horizontal="center"/>
    </xf>
    <xf numFmtId="1" fontId="0" fillId="83" borderId="52" xfId="0" applyNumberFormat="1" applyFill="1" applyBorder="1" applyAlignment="1">
      <alignment horizontal="center"/>
    </xf>
    <xf numFmtId="1" fontId="0" fillId="83" borderId="53" xfId="0" applyNumberFormat="1" applyFill="1" applyBorder="1" applyAlignment="1">
      <alignment horizontal="center"/>
    </xf>
    <xf numFmtId="1" fontId="0" fillId="83" borderId="49" xfId="0" applyNumberFormat="1" applyFill="1" applyBorder="1" applyAlignment="1">
      <alignment horizontal="center"/>
    </xf>
    <xf numFmtId="1" fontId="0" fillId="81" borderId="49" xfId="0" applyNumberFormat="1" applyFill="1" applyBorder="1" applyAlignment="1">
      <alignment horizontal="center"/>
    </xf>
    <xf numFmtId="1" fontId="0" fillId="81" borderId="52" xfId="0" applyNumberFormat="1" applyFill="1" applyBorder="1" applyAlignment="1">
      <alignment horizontal="center"/>
    </xf>
    <xf numFmtId="1" fontId="0" fillId="81" borderId="50" xfId="0" applyNumberFormat="1" applyFill="1" applyBorder="1" applyAlignment="1">
      <alignment horizontal="center"/>
    </xf>
    <xf numFmtId="1" fontId="0" fillId="81" borderId="51" xfId="0" applyNumberFormat="1" applyFill="1" applyBorder="1" applyAlignment="1">
      <alignment horizontal="center"/>
    </xf>
    <xf numFmtId="1" fontId="0" fillId="81" borderId="52" xfId="0" quotePrefix="1" applyNumberFormat="1" applyFill="1" applyBorder="1" applyAlignment="1">
      <alignment horizontal="center"/>
    </xf>
    <xf numFmtId="1" fontId="0" fillId="0" borderId="37" xfId="0" applyNumberFormat="1" applyBorder="1" applyAlignment="1">
      <alignment vertical="center"/>
    </xf>
    <xf numFmtId="1" fontId="0" fillId="0" borderId="41" xfId="0" applyNumberFormat="1" applyBorder="1" applyAlignment="1">
      <alignment vertical="center"/>
    </xf>
    <xf numFmtId="0" fontId="0" fillId="0" borderId="0" xfId="0" applyAlignment="1"/>
  </cellXfs>
  <cellStyles count="809">
    <cellStyle name="=C:\WINNT\SYSTEM32\COMMAND.COM" xfId="144" xr:uid="{00000000-0005-0000-0000-000000000000}"/>
    <cellStyle name="=C:\WINNT\SYSTEM32\COMMAND.COM 2" xfId="145" xr:uid="{00000000-0005-0000-0000-000001000000}"/>
    <cellStyle name="=C:\WINNT\SYSTEM32\COMMAND.COM 3" xfId="146" xr:uid="{00000000-0005-0000-0000-000002000000}"/>
    <cellStyle name="=C:\WINNT\SYSTEM32\COMMAND.COM 3 2" xfId="147" xr:uid="{00000000-0005-0000-0000-000003000000}"/>
    <cellStyle name="20 % - Accent1" xfId="19" builtinId="30" customBuiltin="1"/>
    <cellStyle name="20 % - Accent1 2" xfId="148" xr:uid="{00000000-0005-0000-0000-000005000000}"/>
    <cellStyle name="20 % - Accent1 2 2" xfId="149" xr:uid="{00000000-0005-0000-0000-000006000000}"/>
    <cellStyle name="20 % - Accent1 2 3" xfId="150" xr:uid="{00000000-0005-0000-0000-000007000000}"/>
    <cellStyle name="20 % - Accent1 2 4" xfId="151" xr:uid="{00000000-0005-0000-0000-000008000000}"/>
    <cellStyle name="20 % - Accent1 3" xfId="152" xr:uid="{00000000-0005-0000-0000-000009000000}"/>
    <cellStyle name="20 % - Accent1 3 2" xfId="153" xr:uid="{00000000-0005-0000-0000-00000A000000}"/>
    <cellStyle name="20 % - Accent1 4" xfId="154" xr:uid="{00000000-0005-0000-0000-00000B000000}"/>
    <cellStyle name="20 % - Accent1 4 2" xfId="155" xr:uid="{00000000-0005-0000-0000-00000C000000}"/>
    <cellStyle name="20 % - Accent1 5" xfId="156" xr:uid="{00000000-0005-0000-0000-00000D000000}"/>
    <cellStyle name="20 % - Accent1 6" xfId="157" xr:uid="{00000000-0005-0000-0000-00000E000000}"/>
    <cellStyle name="20 % - Accent2" xfId="23" builtinId="34" customBuiltin="1"/>
    <cellStyle name="20 % - Accent2 2" xfId="158" xr:uid="{00000000-0005-0000-0000-000010000000}"/>
    <cellStyle name="20 % - Accent2 2 2" xfId="159" xr:uid="{00000000-0005-0000-0000-000011000000}"/>
    <cellStyle name="20 % - Accent2 2 3" xfId="160" xr:uid="{00000000-0005-0000-0000-000012000000}"/>
    <cellStyle name="20 % - Accent2 2 4" xfId="161" xr:uid="{00000000-0005-0000-0000-000013000000}"/>
    <cellStyle name="20 % - Accent2 3" xfId="162" xr:uid="{00000000-0005-0000-0000-000014000000}"/>
    <cellStyle name="20 % - Accent2 3 2" xfId="163" xr:uid="{00000000-0005-0000-0000-000015000000}"/>
    <cellStyle name="20 % - Accent2 4" xfId="164" xr:uid="{00000000-0005-0000-0000-000016000000}"/>
    <cellStyle name="20 % - Accent2 4 2" xfId="165" xr:uid="{00000000-0005-0000-0000-000017000000}"/>
    <cellStyle name="20 % - Accent2 5" xfId="166" xr:uid="{00000000-0005-0000-0000-000018000000}"/>
    <cellStyle name="20 % - Accent2 6" xfId="167" xr:uid="{00000000-0005-0000-0000-000019000000}"/>
    <cellStyle name="20 % - Accent3" xfId="27" builtinId="38" customBuiltin="1"/>
    <cellStyle name="20 % - Accent3 2" xfId="168" xr:uid="{00000000-0005-0000-0000-00001B000000}"/>
    <cellStyle name="20 % - Accent3 2 2" xfId="169" xr:uid="{00000000-0005-0000-0000-00001C000000}"/>
    <cellStyle name="20 % - Accent3 2 3" xfId="170" xr:uid="{00000000-0005-0000-0000-00001D000000}"/>
    <cellStyle name="20 % - Accent3 2 4" xfId="171" xr:uid="{00000000-0005-0000-0000-00001E000000}"/>
    <cellStyle name="20 % - Accent3 3" xfId="172" xr:uid="{00000000-0005-0000-0000-00001F000000}"/>
    <cellStyle name="20 % - Accent3 3 2" xfId="173" xr:uid="{00000000-0005-0000-0000-000020000000}"/>
    <cellStyle name="20 % - Accent3 4" xfId="174" xr:uid="{00000000-0005-0000-0000-000021000000}"/>
    <cellStyle name="20 % - Accent3 4 2" xfId="175" xr:uid="{00000000-0005-0000-0000-000022000000}"/>
    <cellStyle name="20 % - Accent3 5" xfId="176" xr:uid="{00000000-0005-0000-0000-000023000000}"/>
    <cellStyle name="20 % - Accent3 6" xfId="177" xr:uid="{00000000-0005-0000-0000-000024000000}"/>
    <cellStyle name="20 % - Accent4" xfId="31" builtinId="42" customBuiltin="1"/>
    <cellStyle name="20 % - Accent4 2" xfId="178" xr:uid="{00000000-0005-0000-0000-000026000000}"/>
    <cellStyle name="20 % - Accent4 2 2" xfId="179" xr:uid="{00000000-0005-0000-0000-000027000000}"/>
    <cellStyle name="20 % - Accent4 2 3" xfId="180" xr:uid="{00000000-0005-0000-0000-000028000000}"/>
    <cellStyle name="20 % - Accent4 2 4" xfId="181" xr:uid="{00000000-0005-0000-0000-000029000000}"/>
    <cellStyle name="20 % - Accent4 3" xfId="182" xr:uid="{00000000-0005-0000-0000-00002A000000}"/>
    <cellStyle name="20 % - Accent4 3 2" xfId="183" xr:uid="{00000000-0005-0000-0000-00002B000000}"/>
    <cellStyle name="20 % - Accent4 4" xfId="184" xr:uid="{00000000-0005-0000-0000-00002C000000}"/>
    <cellStyle name="20 % - Accent4 4 2" xfId="185" xr:uid="{00000000-0005-0000-0000-00002D000000}"/>
    <cellStyle name="20 % - Accent4 5" xfId="186" xr:uid="{00000000-0005-0000-0000-00002E000000}"/>
    <cellStyle name="20 % - Accent4 6" xfId="187" xr:uid="{00000000-0005-0000-0000-00002F000000}"/>
    <cellStyle name="20 % - Accent5" xfId="35" builtinId="46" customBuiltin="1"/>
    <cellStyle name="20 % - Accent5 2" xfId="188" xr:uid="{00000000-0005-0000-0000-000031000000}"/>
    <cellStyle name="20 % - Accent5 2 2" xfId="189" xr:uid="{00000000-0005-0000-0000-000032000000}"/>
    <cellStyle name="20 % - Accent5 2 3" xfId="190" xr:uid="{00000000-0005-0000-0000-000033000000}"/>
    <cellStyle name="20 % - Accent5 2 4" xfId="191" xr:uid="{00000000-0005-0000-0000-000034000000}"/>
    <cellStyle name="20 % - Accent5 3" xfId="192" xr:uid="{00000000-0005-0000-0000-000035000000}"/>
    <cellStyle name="20 % - Accent5 3 2" xfId="193" xr:uid="{00000000-0005-0000-0000-000036000000}"/>
    <cellStyle name="20 % - Accent5 4" xfId="194" xr:uid="{00000000-0005-0000-0000-000037000000}"/>
    <cellStyle name="20 % - Accent5 4 2" xfId="195" xr:uid="{00000000-0005-0000-0000-000038000000}"/>
    <cellStyle name="20 % - Accent5 5" xfId="196" xr:uid="{00000000-0005-0000-0000-000039000000}"/>
    <cellStyle name="20 % - Accent5 6" xfId="197" xr:uid="{00000000-0005-0000-0000-00003A000000}"/>
    <cellStyle name="20 % - Accent6" xfId="39" builtinId="50" customBuiltin="1"/>
    <cellStyle name="20 % - Accent6 2" xfId="198" xr:uid="{00000000-0005-0000-0000-00003C000000}"/>
    <cellStyle name="20 % - Accent6 2 2" xfId="199" xr:uid="{00000000-0005-0000-0000-00003D000000}"/>
    <cellStyle name="20 % - Accent6 2 3" xfId="200" xr:uid="{00000000-0005-0000-0000-00003E000000}"/>
    <cellStyle name="20 % - Accent6 2 4" xfId="201" xr:uid="{00000000-0005-0000-0000-00003F000000}"/>
    <cellStyle name="20 % - Accent6 3" xfId="202" xr:uid="{00000000-0005-0000-0000-000040000000}"/>
    <cellStyle name="20 % - Accent6 3 2" xfId="203" xr:uid="{00000000-0005-0000-0000-000041000000}"/>
    <cellStyle name="20 % - Accent6 4" xfId="204" xr:uid="{00000000-0005-0000-0000-000042000000}"/>
    <cellStyle name="20 % - Accent6 4 2" xfId="205" xr:uid="{00000000-0005-0000-0000-000043000000}"/>
    <cellStyle name="20 % - Accent6 5" xfId="206" xr:uid="{00000000-0005-0000-0000-000044000000}"/>
    <cellStyle name="20 % - Accent6 6" xfId="207" xr:uid="{00000000-0005-0000-0000-000045000000}"/>
    <cellStyle name="40 % - Accent1" xfId="20" builtinId="31" customBuiltin="1"/>
    <cellStyle name="40 % - Accent1 2" xfId="208" xr:uid="{00000000-0005-0000-0000-000047000000}"/>
    <cellStyle name="40 % - Accent1 2 2" xfId="209" xr:uid="{00000000-0005-0000-0000-000048000000}"/>
    <cellStyle name="40 % - Accent1 2 3" xfId="210" xr:uid="{00000000-0005-0000-0000-000049000000}"/>
    <cellStyle name="40 % - Accent1 2 4" xfId="211" xr:uid="{00000000-0005-0000-0000-00004A000000}"/>
    <cellStyle name="40 % - Accent1 3" xfId="212" xr:uid="{00000000-0005-0000-0000-00004B000000}"/>
    <cellStyle name="40 % - Accent1 3 2" xfId="213" xr:uid="{00000000-0005-0000-0000-00004C000000}"/>
    <cellStyle name="40 % - Accent1 4" xfId="214" xr:uid="{00000000-0005-0000-0000-00004D000000}"/>
    <cellStyle name="40 % - Accent1 4 2" xfId="215" xr:uid="{00000000-0005-0000-0000-00004E000000}"/>
    <cellStyle name="40 % - Accent1 5" xfId="216" xr:uid="{00000000-0005-0000-0000-00004F000000}"/>
    <cellStyle name="40 % - Accent1 6" xfId="217" xr:uid="{00000000-0005-0000-0000-000050000000}"/>
    <cellStyle name="40 % - Accent2" xfId="24" builtinId="35" customBuiltin="1"/>
    <cellStyle name="40 % - Accent2 2" xfId="218" xr:uid="{00000000-0005-0000-0000-000052000000}"/>
    <cellStyle name="40 % - Accent2 2 2" xfId="219" xr:uid="{00000000-0005-0000-0000-000053000000}"/>
    <cellStyle name="40 % - Accent2 2 3" xfId="220" xr:uid="{00000000-0005-0000-0000-000054000000}"/>
    <cellStyle name="40 % - Accent2 2 4" xfId="221" xr:uid="{00000000-0005-0000-0000-000055000000}"/>
    <cellStyle name="40 % - Accent2 3" xfId="222" xr:uid="{00000000-0005-0000-0000-000056000000}"/>
    <cellStyle name="40 % - Accent2 3 2" xfId="223" xr:uid="{00000000-0005-0000-0000-000057000000}"/>
    <cellStyle name="40 % - Accent2 4" xfId="224" xr:uid="{00000000-0005-0000-0000-000058000000}"/>
    <cellStyle name="40 % - Accent2 4 2" xfId="225" xr:uid="{00000000-0005-0000-0000-000059000000}"/>
    <cellStyle name="40 % - Accent3" xfId="28" builtinId="39" customBuiltin="1"/>
    <cellStyle name="40 % - Accent3 2" xfId="226" xr:uid="{00000000-0005-0000-0000-00005B000000}"/>
    <cellStyle name="40 % - Accent3 2 2" xfId="227" xr:uid="{00000000-0005-0000-0000-00005C000000}"/>
    <cellStyle name="40 % - Accent3 2 3" xfId="228" xr:uid="{00000000-0005-0000-0000-00005D000000}"/>
    <cellStyle name="40 % - Accent3 2 4" xfId="229" xr:uid="{00000000-0005-0000-0000-00005E000000}"/>
    <cellStyle name="40 % - Accent3 3" xfId="230" xr:uid="{00000000-0005-0000-0000-00005F000000}"/>
    <cellStyle name="40 % - Accent3 3 2" xfId="231" xr:uid="{00000000-0005-0000-0000-000060000000}"/>
    <cellStyle name="40 % - Accent3 4" xfId="232" xr:uid="{00000000-0005-0000-0000-000061000000}"/>
    <cellStyle name="40 % - Accent3 4 2" xfId="233" xr:uid="{00000000-0005-0000-0000-000062000000}"/>
    <cellStyle name="40 % - Accent3 5" xfId="234" xr:uid="{00000000-0005-0000-0000-000063000000}"/>
    <cellStyle name="40 % - Accent3 6" xfId="235" xr:uid="{00000000-0005-0000-0000-000064000000}"/>
    <cellStyle name="40 % - Accent4" xfId="32" builtinId="43" customBuiltin="1"/>
    <cellStyle name="40 % - Accent4 2" xfId="236" xr:uid="{00000000-0005-0000-0000-000066000000}"/>
    <cellStyle name="40 % - Accent4 2 2" xfId="237" xr:uid="{00000000-0005-0000-0000-000067000000}"/>
    <cellStyle name="40 % - Accent4 2 3" xfId="238" xr:uid="{00000000-0005-0000-0000-000068000000}"/>
    <cellStyle name="40 % - Accent4 2 4" xfId="239" xr:uid="{00000000-0005-0000-0000-000069000000}"/>
    <cellStyle name="40 % - Accent4 3" xfId="240" xr:uid="{00000000-0005-0000-0000-00006A000000}"/>
    <cellStyle name="40 % - Accent4 3 2" xfId="241" xr:uid="{00000000-0005-0000-0000-00006B000000}"/>
    <cellStyle name="40 % - Accent4 4" xfId="242" xr:uid="{00000000-0005-0000-0000-00006C000000}"/>
    <cellStyle name="40 % - Accent4 4 2" xfId="243" xr:uid="{00000000-0005-0000-0000-00006D000000}"/>
    <cellStyle name="40 % - Accent4 5" xfId="244" xr:uid="{00000000-0005-0000-0000-00006E000000}"/>
    <cellStyle name="40 % - Accent4 6" xfId="245" xr:uid="{00000000-0005-0000-0000-00006F000000}"/>
    <cellStyle name="40 % - Accent5" xfId="36" builtinId="47" customBuiltin="1"/>
    <cellStyle name="40 % - Accent5 2" xfId="246" xr:uid="{00000000-0005-0000-0000-000071000000}"/>
    <cellStyle name="40 % - Accent5 2 2" xfId="247" xr:uid="{00000000-0005-0000-0000-000072000000}"/>
    <cellStyle name="40 % - Accent5 2 3" xfId="248" xr:uid="{00000000-0005-0000-0000-000073000000}"/>
    <cellStyle name="40 % - Accent5 2 4" xfId="249" xr:uid="{00000000-0005-0000-0000-000074000000}"/>
    <cellStyle name="40 % - Accent5 3" xfId="250" xr:uid="{00000000-0005-0000-0000-000075000000}"/>
    <cellStyle name="40 % - Accent5 3 2" xfId="251" xr:uid="{00000000-0005-0000-0000-000076000000}"/>
    <cellStyle name="40 % - Accent5 4" xfId="252" xr:uid="{00000000-0005-0000-0000-000077000000}"/>
    <cellStyle name="40 % - Accent5 4 2" xfId="253" xr:uid="{00000000-0005-0000-0000-000078000000}"/>
    <cellStyle name="40 % - Accent5 5" xfId="254" xr:uid="{00000000-0005-0000-0000-000079000000}"/>
    <cellStyle name="40 % - Accent5 6" xfId="255" xr:uid="{00000000-0005-0000-0000-00007A000000}"/>
    <cellStyle name="40 % - Accent6" xfId="40" builtinId="51" customBuiltin="1"/>
    <cellStyle name="40 % - Accent6 2" xfId="256" xr:uid="{00000000-0005-0000-0000-00007C000000}"/>
    <cellStyle name="40 % - Accent6 2 2" xfId="257" xr:uid="{00000000-0005-0000-0000-00007D000000}"/>
    <cellStyle name="40 % - Accent6 2 3" xfId="258" xr:uid="{00000000-0005-0000-0000-00007E000000}"/>
    <cellStyle name="40 % - Accent6 2 4" xfId="259" xr:uid="{00000000-0005-0000-0000-00007F000000}"/>
    <cellStyle name="40 % - Accent6 3" xfId="260" xr:uid="{00000000-0005-0000-0000-000080000000}"/>
    <cellStyle name="40 % - Accent6 3 2" xfId="261" xr:uid="{00000000-0005-0000-0000-000081000000}"/>
    <cellStyle name="40 % - Accent6 4" xfId="262" xr:uid="{00000000-0005-0000-0000-000082000000}"/>
    <cellStyle name="40 % - Accent6 4 2" xfId="263" xr:uid="{00000000-0005-0000-0000-000083000000}"/>
    <cellStyle name="40 % - Accent6 5" xfId="264" xr:uid="{00000000-0005-0000-0000-000084000000}"/>
    <cellStyle name="40 % - Accent6 6" xfId="265" xr:uid="{00000000-0005-0000-0000-000085000000}"/>
    <cellStyle name="60 % - Accent1" xfId="21" builtinId="32" customBuiltin="1"/>
    <cellStyle name="60 % - Accent1 2" xfId="266" xr:uid="{00000000-0005-0000-0000-000087000000}"/>
    <cellStyle name="60 % - Accent1 2 2" xfId="267" xr:uid="{00000000-0005-0000-0000-000088000000}"/>
    <cellStyle name="60 % - Accent1 3" xfId="268" xr:uid="{00000000-0005-0000-0000-000089000000}"/>
    <cellStyle name="60 % - Accent1 3 2" xfId="269" xr:uid="{00000000-0005-0000-0000-00008A000000}"/>
    <cellStyle name="60 % - Accent1 4" xfId="270" xr:uid="{00000000-0005-0000-0000-00008B000000}"/>
    <cellStyle name="60 % - Accent1 5" xfId="271" xr:uid="{00000000-0005-0000-0000-00008C000000}"/>
    <cellStyle name="60 % - Accent1 6" xfId="272" xr:uid="{00000000-0005-0000-0000-00008D000000}"/>
    <cellStyle name="60 % - Accent2" xfId="25" builtinId="36" customBuiltin="1"/>
    <cellStyle name="60 % - Accent2 2" xfId="273" xr:uid="{00000000-0005-0000-0000-00008F000000}"/>
    <cellStyle name="60 % - Accent2 2 2" xfId="274" xr:uid="{00000000-0005-0000-0000-000090000000}"/>
    <cellStyle name="60 % - Accent2 3" xfId="275" xr:uid="{00000000-0005-0000-0000-000091000000}"/>
    <cellStyle name="60 % - Accent2 3 2" xfId="276" xr:uid="{00000000-0005-0000-0000-000092000000}"/>
    <cellStyle name="60 % - Accent2 4" xfId="277" xr:uid="{00000000-0005-0000-0000-000093000000}"/>
    <cellStyle name="60 % - Accent2 5" xfId="278" xr:uid="{00000000-0005-0000-0000-000094000000}"/>
    <cellStyle name="60 % - Accent2 6" xfId="279" xr:uid="{00000000-0005-0000-0000-000095000000}"/>
    <cellStyle name="60 % - Accent3" xfId="29" builtinId="40" customBuiltin="1"/>
    <cellStyle name="60 % - Accent3 2" xfId="280" xr:uid="{00000000-0005-0000-0000-000097000000}"/>
    <cellStyle name="60 % - Accent3 2 2" xfId="281" xr:uid="{00000000-0005-0000-0000-000098000000}"/>
    <cellStyle name="60 % - Accent3 3" xfId="282" xr:uid="{00000000-0005-0000-0000-000099000000}"/>
    <cellStyle name="60 % - Accent3 3 2" xfId="283" xr:uid="{00000000-0005-0000-0000-00009A000000}"/>
    <cellStyle name="60 % - Accent3 4" xfId="284" xr:uid="{00000000-0005-0000-0000-00009B000000}"/>
    <cellStyle name="60 % - Accent3 5" xfId="285" xr:uid="{00000000-0005-0000-0000-00009C000000}"/>
    <cellStyle name="60 % - Accent3 6" xfId="286" xr:uid="{00000000-0005-0000-0000-00009D000000}"/>
    <cellStyle name="60 % - Accent4" xfId="33" builtinId="44" customBuiltin="1"/>
    <cellStyle name="60 % - Accent4 2" xfId="287" xr:uid="{00000000-0005-0000-0000-00009F000000}"/>
    <cellStyle name="60 % - Accent4 2 2" xfId="288" xr:uid="{00000000-0005-0000-0000-0000A0000000}"/>
    <cellStyle name="60 % - Accent4 3" xfId="289" xr:uid="{00000000-0005-0000-0000-0000A1000000}"/>
    <cellStyle name="60 % - Accent4 3 2" xfId="290" xr:uid="{00000000-0005-0000-0000-0000A2000000}"/>
    <cellStyle name="60 % - Accent4 4" xfId="291" xr:uid="{00000000-0005-0000-0000-0000A3000000}"/>
    <cellStyle name="60 % - Accent4 5" xfId="292" xr:uid="{00000000-0005-0000-0000-0000A4000000}"/>
    <cellStyle name="60 % - Accent4 6" xfId="293" xr:uid="{00000000-0005-0000-0000-0000A5000000}"/>
    <cellStyle name="60 % - Accent5" xfId="37" builtinId="48" customBuiltin="1"/>
    <cellStyle name="60 % - Accent5 2" xfId="294" xr:uid="{00000000-0005-0000-0000-0000A7000000}"/>
    <cellStyle name="60 % - Accent6" xfId="41" builtinId="52" customBuiltin="1"/>
    <cellStyle name="60 % - Accent6 2" xfId="295" xr:uid="{00000000-0005-0000-0000-0000A9000000}"/>
    <cellStyle name="60 % - Accent6 2 2" xfId="296" xr:uid="{00000000-0005-0000-0000-0000AA000000}"/>
    <cellStyle name="60 % - Accent6 3" xfId="297" xr:uid="{00000000-0005-0000-0000-0000AB000000}"/>
    <cellStyle name="60 % - Accent6 3 2" xfId="298" xr:uid="{00000000-0005-0000-0000-0000AC000000}"/>
    <cellStyle name="60 % - Accent6 4" xfId="299" xr:uid="{00000000-0005-0000-0000-0000AD000000}"/>
    <cellStyle name="60 % - Accent6 5" xfId="300" xr:uid="{00000000-0005-0000-0000-0000AE000000}"/>
    <cellStyle name="60 % - Accent6 6" xfId="301" xr:uid="{00000000-0005-0000-0000-0000AF000000}"/>
    <cellStyle name="Accent1" xfId="18" builtinId="29" customBuiltin="1"/>
    <cellStyle name="Accent1 2" xfId="302" xr:uid="{00000000-0005-0000-0000-0000B1000000}"/>
    <cellStyle name="Accent1 3" xfId="116" xr:uid="{00000000-0005-0000-0000-0000B2000000}"/>
    <cellStyle name="Accent2" xfId="22" builtinId="33" customBuiltin="1"/>
    <cellStyle name="Accent2 2" xfId="303" xr:uid="{00000000-0005-0000-0000-0000B4000000}"/>
    <cellStyle name="Accent2 3" xfId="115" xr:uid="{00000000-0005-0000-0000-0000B5000000}"/>
    <cellStyle name="Accent3" xfId="26" builtinId="37" customBuiltin="1"/>
    <cellStyle name="Accent3 2" xfId="304" xr:uid="{00000000-0005-0000-0000-0000B7000000}"/>
    <cellStyle name="Accent3 2 2" xfId="305" xr:uid="{00000000-0005-0000-0000-0000B8000000}"/>
    <cellStyle name="Accent3 3" xfId="306" xr:uid="{00000000-0005-0000-0000-0000B9000000}"/>
    <cellStyle name="Accent3 3 2" xfId="307" xr:uid="{00000000-0005-0000-0000-0000BA000000}"/>
    <cellStyle name="Accent3 4" xfId="308" xr:uid="{00000000-0005-0000-0000-0000BB000000}"/>
    <cellStyle name="Accent3 5" xfId="309" xr:uid="{00000000-0005-0000-0000-0000BC000000}"/>
    <cellStyle name="Accent3 6" xfId="310" xr:uid="{00000000-0005-0000-0000-0000BD000000}"/>
    <cellStyle name="Accent3 7" xfId="114" xr:uid="{00000000-0005-0000-0000-0000BE000000}"/>
    <cellStyle name="Accent4" xfId="30" builtinId="41" customBuiltin="1"/>
    <cellStyle name="Accent4 2" xfId="311" xr:uid="{00000000-0005-0000-0000-0000C0000000}"/>
    <cellStyle name="Accent4 2 2" xfId="312" xr:uid="{00000000-0005-0000-0000-0000C1000000}"/>
    <cellStyle name="Accent4 3" xfId="313" xr:uid="{00000000-0005-0000-0000-0000C2000000}"/>
    <cellStyle name="Accent4 3 2" xfId="314" xr:uid="{00000000-0005-0000-0000-0000C3000000}"/>
    <cellStyle name="Accent4 4" xfId="315" xr:uid="{00000000-0005-0000-0000-0000C4000000}"/>
    <cellStyle name="Accent4 5" xfId="316" xr:uid="{00000000-0005-0000-0000-0000C5000000}"/>
    <cellStyle name="Accent4 6" xfId="317" xr:uid="{00000000-0005-0000-0000-0000C6000000}"/>
    <cellStyle name="Accent4 7" xfId="113" xr:uid="{00000000-0005-0000-0000-0000C7000000}"/>
    <cellStyle name="Accent5" xfId="34" builtinId="45" customBuiltin="1"/>
    <cellStyle name="Accent5 2" xfId="318" xr:uid="{00000000-0005-0000-0000-0000C9000000}"/>
    <cellStyle name="Accent5 3" xfId="112" xr:uid="{00000000-0005-0000-0000-0000CA000000}"/>
    <cellStyle name="Accent6" xfId="38" builtinId="49" customBuiltin="1"/>
    <cellStyle name="Accent6 2" xfId="319" xr:uid="{00000000-0005-0000-0000-0000CC000000}"/>
    <cellStyle name="Accent6 3" xfId="111" xr:uid="{00000000-0005-0000-0000-0000CD000000}"/>
    <cellStyle name="Avertissement" xfId="14" builtinId="11" customBuiltin="1"/>
    <cellStyle name="Avertissement 2" xfId="320" xr:uid="{00000000-0005-0000-0000-0000CF000000}"/>
    <cellStyle name="Bon_ACCUEIL.VMAN.12.12.MOIS.TAB GC(2).xls" xfId="592" xr:uid="{4B773170-92B6-45AB-8412-1E3C44526C46}"/>
    <cellStyle name="Calcul" xfId="11" builtinId="22" customBuiltin="1"/>
    <cellStyle name="Calcul 2" xfId="321" xr:uid="{00000000-0005-0000-0000-0000D1000000}"/>
    <cellStyle name="Calcul 2 2" xfId="322" xr:uid="{00000000-0005-0000-0000-0000D2000000}"/>
    <cellStyle name="Calcul 3" xfId="323" xr:uid="{00000000-0005-0000-0000-0000D3000000}"/>
    <cellStyle name="Calcul 3 2" xfId="324" xr:uid="{00000000-0005-0000-0000-0000D4000000}"/>
    <cellStyle name="Calcul 4" xfId="325" xr:uid="{00000000-0005-0000-0000-0000D5000000}"/>
    <cellStyle name="Calcul 5" xfId="326" xr:uid="{00000000-0005-0000-0000-0000D6000000}"/>
    <cellStyle name="Calcul 6" xfId="327" xr:uid="{00000000-0005-0000-0000-0000D7000000}"/>
    <cellStyle name="Cellule liée" xfId="12" builtinId="24" customBuiltin="1"/>
    <cellStyle name="Cellule liée 2" xfId="328" xr:uid="{00000000-0005-0000-0000-0000D9000000}"/>
    <cellStyle name="Collegamento ipertestuale 2" xfId="44" xr:uid="{00000000-0005-0000-0000-0000DA000000}"/>
    <cellStyle name="Collegamento ipertestuale 3" xfId="43" xr:uid="{00000000-0005-0000-0000-0000DB000000}"/>
    <cellStyle name="Comma" xfId="121" xr:uid="{00000000-0005-0000-0000-0000DC000000}"/>
    <cellStyle name="Comma [0]" xfId="122" xr:uid="{00000000-0005-0000-0000-0000DD000000}"/>
    <cellStyle name="Comma [0] 2" xfId="137" xr:uid="{00000000-0005-0000-0000-0000DE000000}"/>
    <cellStyle name="Comma [0] 2 2" xfId="540" xr:uid="{6CC14931-D130-4EB7-9782-9B0658AF2253}"/>
    <cellStyle name="Comma [0] 2 2 2" xfId="669" xr:uid="{01581521-3324-4AA9-B1CC-098A52B675E1}"/>
    <cellStyle name="Comma [0] 2 2 2 2" xfId="775" xr:uid="{23BBD1AF-2905-4438-845B-DB7A5CCD45DA}"/>
    <cellStyle name="Comma [0] 2 2 3" xfId="716" xr:uid="{DE968428-9F27-4C4F-ADD2-5597C2DD6275}"/>
    <cellStyle name="Comma [0] 2 3" xfId="587" xr:uid="{FF73FDC2-188F-4917-949D-7B95AB7E7A06}"/>
    <cellStyle name="Comma [0] 3" xfId="535" xr:uid="{353FABCC-5130-485E-B753-A76F3BCC351E}"/>
    <cellStyle name="Comma [0] 3 2" xfId="664" xr:uid="{D8CF9A45-A7F8-4B55-810F-55CB0B31C7E4}"/>
    <cellStyle name="Comma [0] 3 2 2" xfId="770" xr:uid="{04BAA162-A734-4B50-A61A-CAAF7C63EBCA}"/>
    <cellStyle name="Comma [0] 3 3" xfId="711" xr:uid="{5D016900-EF84-4DE5-9E6B-913A976EC555}"/>
    <cellStyle name="Comma [0] 4" xfId="565" xr:uid="{21BE0DBD-494D-430E-A729-4F194F581A1F}"/>
    <cellStyle name="Comma 10" xfId="564" xr:uid="{04275A3F-600E-4D53-8F78-D18E9030C956}"/>
    <cellStyle name="Comma 11" xfId="636" xr:uid="{EB2BE686-DB74-4B1D-ADA4-62574C767D69}"/>
    <cellStyle name="Comma 12" xfId="653" xr:uid="{10DEC90E-B696-48CC-A4B0-724B32F3B60D}"/>
    <cellStyle name="Comma 12 2" xfId="764" xr:uid="{347819B1-F4BA-4B9D-8393-84E60CAF605F}"/>
    <cellStyle name="Comma 13" xfId="705" xr:uid="{ABE180D2-EEB0-4272-85A2-B1E08F14B77E}"/>
    <cellStyle name="Comma 2" xfId="136" xr:uid="{00000000-0005-0000-0000-0000DF000000}"/>
    <cellStyle name="Comma 2 2" xfId="539" xr:uid="{CD8BAC9E-5866-4310-9864-1489775A95F5}"/>
    <cellStyle name="Comma 2 2 2" xfId="668" xr:uid="{80B2BEB2-A8A8-4438-8CD7-A5369A33E1D6}"/>
    <cellStyle name="Comma 2 2 2 2" xfId="774" xr:uid="{7810C72F-BFED-43CA-8BA5-18307EB16BF3}"/>
    <cellStyle name="Comma 2 2 3" xfId="715" xr:uid="{7C9E68D2-5B83-4AD8-9C76-59E966C010A4}"/>
    <cellStyle name="Comma 2 3" xfId="586" xr:uid="{A2A0DA24-4C0F-4FAB-9A09-9D1C959A3642}"/>
    <cellStyle name="Comma 3" xfId="139" xr:uid="{00000000-0005-0000-0000-0000E0000000}"/>
    <cellStyle name="Comma 3 2" xfId="542" xr:uid="{59D0C5D6-DFCC-4806-8BE2-DDC390D57B3C}"/>
    <cellStyle name="Comma 3 2 2" xfId="671" xr:uid="{B7BFB50F-CD4E-410D-B90F-E152A970D985}"/>
    <cellStyle name="Comma 3 2 2 2" xfId="777" xr:uid="{357B75EE-3E93-4AA6-BA73-A4F47AC6F9D3}"/>
    <cellStyle name="Comma 3 2 3" xfId="718" xr:uid="{D3B7684E-3691-49D9-A334-72D4EEE1153B}"/>
    <cellStyle name="Comma 3 3" xfId="578" xr:uid="{00473D1A-AFC5-4E09-8475-9566FE44FD12}"/>
    <cellStyle name="Comma 4" xfId="329" xr:uid="{00000000-0005-0000-0000-0000E1000000}"/>
    <cellStyle name="Comma 4 2" xfId="543" xr:uid="{EF6A4A5B-A38E-4B6A-BC44-A58CD59BC683}"/>
    <cellStyle name="Comma 4 2 2" xfId="672" xr:uid="{BB50D91E-83D4-436E-8563-679F437E5CA5}"/>
    <cellStyle name="Comma 4 2 2 2" xfId="778" xr:uid="{12DBF132-61F5-422B-A2C3-003FE2E4C998}"/>
    <cellStyle name="Comma 4 2 3" xfId="719" xr:uid="{A73D1238-27EA-41DC-8681-7135FF968D35}"/>
    <cellStyle name="Comma 4 3" xfId="580" xr:uid="{7E997E23-1063-45D9-A202-48F37679D314}"/>
    <cellStyle name="Comma 5" xfId="509" xr:uid="{00000000-0005-0000-0000-0000E2000000}"/>
    <cellStyle name="Comma 5 2" xfId="546" xr:uid="{FB29061E-9F94-49BB-8DFA-DED4E2DE020E}"/>
    <cellStyle name="Comma 5 2 2" xfId="675" xr:uid="{CEF5E90E-08FB-4380-8F30-F47A8EA8DB3E}"/>
    <cellStyle name="Comma 5 2 2 2" xfId="781" xr:uid="{945764E5-229D-42C5-B1B6-82A4011242FD}"/>
    <cellStyle name="Comma 5 2 3" xfId="722" xr:uid="{6A2CA75B-8F9D-4D1E-941B-C73E999E4161}"/>
    <cellStyle name="Comma 5 3" xfId="581" xr:uid="{645803AC-8E50-4710-BC9F-FE1B5E87BDFC}"/>
    <cellStyle name="Comma 6" xfId="534" xr:uid="{55672664-7CAC-4A12-ABD0-C409A3A37F1C}"/>
    <cellStyle name="Comma 6 2" xfId="583" xr:uid="{FA13B42A-A655-41D2-97DA-AE3B0B1E5101}"/>
    <cellStyle name="Comma 6 3" xfId="663" xr:uid="{85F2BE16-D936-497E-94C5-1091B6055758}"/>
    <cellStyle name="Comma 6 3 2" xfId="769" xr:uid="{4B8CC222-A2EC-43FF-9743-E324319F25FE}"/>
    <cellStyle name="Comma 6 4" xfId="710" xr:uid="{7479A95F-775E-4D0B-B1D6-9F484371E4E8}"/>
    <cellStyle name="Comma 7" xfId="560" xr:uid="{BCCADEE7-3C95-4C11-8AF0-5B01BA0B9818}"/>
    <cellStyle name="Comma 7 2" xfId="574" xr:uid="{1BB03422-BBCB-4855-8DE1-E2A0CA4CA325}"/>
    <cellStyle name="Comma 7 3" xfId="689" xr:uid="{9E65CDDB-7364-4EBA-8A87-92E8D4643F9B}"/>
    <cellStyle name="Comma 7 3 2" xfId="795" xr:uid="{35D9F9D3-79C1-4804-B79D-EA622CCE8E96}"/>
    <cellStyle name="Comma 7 4" xfId="736" xr:uid="{0BA9DF7F-B205-4CA1-BE83-16001479388A}"/>
    <cellStyle name="Comma 8" xfId="575" xr:uid="{BDAB1C5C-2744-436D-A6A9-677AB4BC1157}"/>
    <cellStyle name="Comma 9" xfId="585" xr:uid="{CF0C9B8B-1F4C-4A29-8528-807803CCAF6A}"/>
    <cellStyle name="Commentaire" xfId="593" xr:uid="{1CAEA98F-6F44-4EDE-BDBD-CCBCAD69157F}"/>
    <cellStyle name="Commentaire 2" xfId="330" xr:uid="{00000000-0005-0000-0000-0000E3000000}"/>
    <cellStyle name="Commentaire 2 2" xfId="331" xr:uid="{00000000-0005-0000-0000-0000E4000000}"/>
    <cellStyle name="Commentaire 2 2 2" xfId="632" xr:uid="{C8EBB410-C7E8-4A0A-BDC8-ABD8C9C6E329}"/>
    <cellStyle name="Commentaire 2 3" xfId="332" xr:uid="{00000000-0005-0000-0000-0000E5000000}"/>
    <cellStyle name="Commentaire 2 4" xfId="333" xr:uid="{00000000-0005-0000-0000-0000E6000000}"/>
    <cellStyle name="Commentaire 2 5" xfId="621" xr:uid="{98F9863B-F7F7-46A4-B5D7-C22410C8DC47}"/>
    <cellStyle name="Commentaire 3" xfId="334" xr:uid="{00000000-0005-0000-0000-0000E7000000}"/>
    <cellStyle name="Commentaire 3 2" xfId="335" xr:uid="{00000000-0005-0000-0000-0000E8000000}"/>
    <cellStyle name="Commentaire 3 2 2" xfId="633" xr:uid="{9812393F-89D7-495B-8EED-ECAEA3DB3C05}"/>
    <cellStyle name="Commentaire 3 3" xfId="612" xr:uid="{62DC04EF-6BBB-4F6F-B740-F2118E1070D5}"/>
    <cellStyle name="Commentaire 4" xfId="336" xr:uid="{00000000-0005-0000-0000-0000E9000000}"/>
    <cellStyle name="Commentaire 4 2" xfId="337" xr:uid="{00000000-0005-0000-0000-0000EA000000}"/>
    <cellStyle name="Commentaire 4 3" xfId="631" xr:uid="{F97D86D5-4608-4E7F-AE01-CF6F1B9C8B32}"/>
    <cellStyle name="Commentaire 5" xfId="73" xr:uid="{00000000-0005-0000-0000-0000EB000000}"/>
    <cellStyle name="ContentsHyperlink" xfId="48" xr:uid="{00000000-0005-0000-0000-0000EC000000}"/>
    <cellStyle name="Currency" xfId="119" xr:uid="{00000000-0005-0000-0000-0000ED000000}"/>
    <cellStyle name="Currency [0]" xfId="120" xr:uid="{00000000-0005-0000-0000-0000EE000000}"/>
    <cellStyle name="Currency [0] 2" xfId="135" xr:uid="{00000000-0005-0000-0000-0000EF000000}"/>
    <cellStyle name="Currency [0] 2 2" xfId="538" xr:uid="{4A8798A4-9BCF-4AA8-806E-5BDB3AB43A47}"/>
    <cellStyle name="Currency [0] 2 2 2" xfId="667" xr:uid="{283B2511-1125-47BA-995E-5F6CD4232A3B}"/>
    <cellStyle name="Currency [0] 2 2 2 2" xfId="773" xr:uid="{A835168D-EFAB-4B60-A91E-75430CC787EC}"/>
    <cellStyle name="Currency [0] 2 2 3" xfId="714" xr:uid="{638C7131-8AD6-4FE5-87FB-97E3E88FE7EB}"/>
    <cellStyle name="Currency [0] 2 3" xfId="589" xr:uid="{761EA86D-690D-4618-ADD0-C3273D5A818D}"/>
    <cellStyle name="Currency [0] 2 3 2" xfId="700" xr:uid="{892C5ABB-CB73-41DD-A4A7-1D206942E47E}"/>
    <cellStyle name="Currency [0] 2 3 2 2" xfId="806" xr:uid="{23EFBB26-A009-451B-B3E7-5CAEA74AB88A}"/>
    <cellStyle name="Currency [0] 2 3 3" xfId="747" xr:uid="{ADD94D47-7C24-4484-A21A-57E379BA615C}"/>
    <cellStyle name="Currency [0] 2 4" xfId="647" xr:uid="{11B17844-E769-4C5D-905E-9089DC4EED6E}"/>
    <cellStyle name="Currency [0] 2 4 2" xfId="760" xr:uid="{C249604D-662F-4453-B97A-13AF3C71F510}"/>
    <cellStyle name="Currency [0] 3" xfId="533" xr:uid="{41A15F43-2FAE-4087-ACFE-DD5324727CB2}"/>
    <cellStyle name="Currency [0] 3 2" xfId="662" xr:uid="{695AF5DA-43C8-4C0B-AB90-2DB178EC016E}"/>
    <cellStyle name="Currency [0] 3 2 2" xfId="768" xr:uid="{D8EF219A-55D3-4F95-AF53-0CE9BA513CCE}"/>
    <cellStyle name="Currency [0] 3 3" xfId="709" xr:uid="{C1C3DA0B-038E-41BE-A463-DD9E52C6A469}"/>
    <cellStyle name="Currency [0] 4" xfId="567" xr:uid="{CE8953C4-905E-4278-8F6E-F0324B2B7092}"/>
    <cellStyle name="Currency [0] 4 2" xfId="691" xr:uid="{264F383C-6B52-461B-8408-3AB969EE272B}"/>
    <cellStyle name="Currency [0] 4 2 2" xfId="797" xr:uid="{2697B45D-C4C9-4D83-971E-1EF350C685CA}"/>
    <cellStyle name="Currency [0] 4 3" xfId="738" xr:uid="{F01836AE-75EF-41A7-9A9A-5AAB2463F237}"/>
    <cellStyle name="Currency [0] 5" xfId="638" xr:uid="{C4D73554-518F-498D-B52A-5BEBD3290CCB}"/>
    <cellStyle name="Currency [0] 5 2" xfId="751" xr:uid="{EB30B61D-9803-4C94-B5C7-6DDECA7AADC3}"/>
    <cellStyle name="Currency 10" xfId="566" xr:uid="{E117B964-2048-4495-A78B-826AA4CB9DBF}"/>
    <cellStyle name="Currency 10 2" xfId="690" xr:uid="{B334CB50-4A00-4E1A-B868-067C82EB615A}"/>
    <cellStyle name="Currency 10 2 2" xfId="796" xr:uid="{1139C990-5A76-4F19-B5A0-6AD8775FE605}"/>
    <cellStyle name="Currency 10 3" xfId="737" xr:uid="{A289ABF1-738C-4A39-8876-3C44C38E132B}"/>
    <cellStyle name="Currency 11" xfId="637" xr:uid="{55DC8B76-AA97-4196-A7FC-FB81365D6EEC}"/>
    <cellStyle name="Currency 11 2" xfId="750" xr:uid="{B1A9EAB5-9925-4BBA-A2F3-3AE857519DD8}"/>
    <cellStyle name="Currency 12" xfId="652" xr:uid="{E362A6FD-D186-46B0-8B2D-7EEDFF2DB37D}"/>
    <cellStyle name="Currency 12 2" xfId="763" xr:uid="{491180A4-1861-476B-AFB9-82C33CDE7076}"/>
    <cellStyle name="Currency 13" xfId="704" xr:uid="{C2FEFAD7-25DA-409E-866A-CE1D87D41863}"/>
    <cellStyle name="Currency 2" xfId="134" xr:uid="{00000000-0005-0000-0000-0000F0000000}"/>
    <cellStyle name="Currency 2 2" xfId="537" xr:uid="{15F80F39-9EEF-4889-B744-B759554A2CF3}"/>
    <cellStyle name="Currency 2 2 2" xfId="666" xr:uid="{625583EE-5C67-4B3F-B06B-C8FCB43E1347}"/>
    <cellStyle name="Currency 2 2 2 2" xfId="772" xr:uid="{16CE0B07-DBCB-4A09-A187-80D543D64503}"/>
    <cellStyle name="Currency 2 2 3" xfId="713" xr:uid="{B0D1D199-AE4B-41F6-9817-94076AE4D68A}"/>
    <cellStyle name="Currency 2 3" xfId="588" xr:uid="{A5F69341-C65F-42BB-A856-7A7DB210DD9E}"/>
    <cellStyle name="Currency 2 3 2" xfId="699" xr:uid="{A90ED5AC-72A5-4FA5-BA5D-D299B258C206}"/>
    <cellStyle name="Currency 2 3 2 2" xfId="805" xr:uid="{BB3B518C-147C-4CF3-884F-FE892168251B}"/>
    <cellStyle name="Currency 2 3 3" xfId="746" xr:uid="{58D03D99-11C3-4924-8D98-268B159250F9}"/>
    <cellStyle name="Currency 2 4" xfId="646" xr:uid="{2DCB0806-0E8F-4303-85F2-D4F0369B3384}"/>
    <cellStyle name="Currency 2 4 2" xfId="759" xr:uid="{4012A833-324B-436D-AF08-33DE125D03F6}"/>
    <cellStyle name="Currency 3" xfId="138" xr:uid="{00000000-0005-0000-0000-0000F1000000}"/>
    <cellStyle name="Currency 3 2" xfId="541" xr:uid="{E44F3462-403B-48DE-8262-E76E95EB8B7A}"/>
    <cellStyle name="Currency 3 2 2" xfId="670" xr:uid="{7B89DF34-5083-4A98-A2D7-75B27B4B3E9D}"/>
    <cellStyle name="Currency 3 2 2 2" xfId="776" xr:uid="{072D0B08-5001-4469-AFA3-D0748F8B8F82}"/>
    <cellStyle name="Currency 3 2 3" xfId="717" xr:uid="{9E882C80-B901-4853-87FC-8A47E3D86EF6}"/>
    <cellStyle name="Currency 3 3" xfId="576" xr:uid="{FEDBD009-CE35-452A-A0A6-9A95E3A7545C}"/>
    <cellStyle name="Currency 3 3 2" xfId="694" xr:uid="{76FD5800-F24B-42DC-87E4-BBA501121907}"/>
    <cellStyle name="Currency 3 3 2 2" xfId="800" xr:uid="{7D374CEE-0E0B-4F48-838C-1262ECE3F0D5}"/>
    <cellStyle name="Currency 3 3 3" xfId="741" xr:uid="{8019C479-3A64-4345-9C92-AEC1BCD3BA9E}"/>
    <cellStyle name="Currency 3 4" xfId="641" xr:uid="{BF250879-A0E2-4B45-99BD-07EC697F675E}"/>
    <cellStyle name="Currency 3 4 2" xfId="754" xr:uid="{EC133D4C-2A80-43C8-94D1-EA193ACC266C}"/>
    <cellStyle name="Currency 4" xfId="338" xr:uid="{00000000-0005-0000-0000-0000F2000000}"/>
    <cellStyle name="Currency 4 2" xfId="544" xr:uid="{F8395CC7-B6CE-43C6-B84C-D8E2B98928B7}"/>
    <cellStyle name="Currency 4 2 2" xfId="673" xr:uid="{77C83BFC-BD29-4DAD-ACBF-6CE843C93925}"/>
    <cellStyle name="Currency 4 2 2 2" xfId="779" xr:uid="{033B1B02-B45F-4A05-B2BD-2E3FAA639291}"/>
    <cellStyle name="Currency 4 2 3" xfId="720" xr:uid="{2F35C1E2-32EA-4BBB-A99F-C65E9021CCB8}"/>
    <cellStyle name="Currency 4 3" xfId="579" xr:uid="{1E9F4FA2-338D-4FEF-B49F-46B93F10FD43}"/>
    <cellStyle name="Currency 4 3 2" xfId="696" xr:uid="{FD77C86B-8A65-4D57-84BE-FE9769AA368D}"/>
    <cellStyle name="Currency 4 3 2 2" xfId="802" xr:uid="{5B357593-A124-4BDD-951C-C8610F6EAA62}"/>
    <cellStyle name="Currency 4 3 3" xfId="743" xr:uid="{31923BC8-77B7-4883-8167-CD0D967A076F}"/>
    <cellStyle name="Currency 4 4" xfId="643" xr:uid="{715B83B2-CFA6-4A9B-B869-DE32A0F3AFBD}"/>
    <cellStyle name="Currency 4 4 2" xfId="756" xr:uid="{90A548D5-BD30-4975-BAD4-E295BC8D257E}"/>
    <cellStyle name="Currency 5" xfId="510" xr:uid="{00000000-0005-0000-0000-0000F3000000}"/>
    <cellStyle name="Currency 5 2" xfId="547" xr:uid="{7CD86621-E6CA-4A63-BDA6-CEB793ED13C1}"/>
    <cellStyle name="Currency 5 2 2" xfId="676" xr:uid="{872FA80F-FB33-4BFE-A371-CF1AC5587975}"/>
    <cellStyle name="Currency 5 2 2 2" xfId="782" xr:uid="{6BA8FC99-5CD5-4080-AF86-B983B2D78C05}"/>
    <cellStyle name="Currency 5 2 3" xfId="723" xr:uid="{A7C30A32-E1AA-4127-89E1-29989B5D814B}"/>
    <cellStyle name="Currency 5 3" xfId="577" xr:uid="{2EA09C84-E70E-476A-8D66-481586CBE28B}"/>
    <cellStyle name="Currency 5 3 2" xfId="695" xr:uid="{4F6EE47D-9C61-4A54-8025-5869180A0B04}"/>
    <cellStyle name="Currency 5 3 2 2" xfId="801" xr:uid="{8BAA870F-5A7B-4C91-8AD4-A2CBE0E24C00}"/>
    <cellStyle name="Currency 5 3 3" xfId="742" xr:uid="{4ACE3CFE-8FEC-4D8A-9ACC-304343CD8233}"/>
    <cellStyle name="Currency 5 4" xfId="642" xr:uid="{F2756C37-216A-4633-95EC-3D6E5CCD8160}"/>
    <cellStyle name="Currency 5 4 2" xfId="755" xr:uid="{F5A35F54-3C6F-40DB-BCAB-3DB666BD38D3}"/>
    <cellStyle name="Currency 6" xfId="532" xr:uid="{D68037A3-3AB0-42F6-B3CA-4C6786421C10}"/>
    <cellStyle name="Currency 6 2" xfId="582" xr:uid="{BFF6A866-F619-4F3A-97F6-4B16A49BE6D6}"/>
    <cellStyle name="Currency 6 2 2" xfId="697" xr:uid="{B06DA10F-6CA6-49D5-A7CB-F0DA6D7047CD}"/>
    <cellStyle name="Currency 6 2 2 2" xfId="803" xr:uid="{7116DE3C-7544-4EBE-A246-124CC73156CF}"/>
    <cellStyle name="Currency 6 2 3" xfId="744" xr:uid="{895E7BA5-EBFF-4CF4-A371-066CF3AD53CB}"/>
    <cellStyle name="Currency 6 3" xfId="644" xr:uid="{367385BF-5994-4AD9-B5E9-7248E64DCDA9}"/>
    <cellStyle name="Currency 6 3 2" xfId="757" xr:uid="{9B6E623E-BC5E-46D2-89CD-EF53399756D7}"/>
    <cellStyle name="Currency 6 4" xfId="661" xr:uid="{7D265AF5-BE9E-4B2F-94FB-FB1754FE547D}"/>
    <cellStyle name="Currency 6 4 2" xfId="767" xr:uid="{CC61FA35-4513-4811-88B3-EF52539CA5F3}"/>
    <cellStyle name="Currency 6 5" xfId="708" xr:uid="{E3B1985E-551C-48F4-AF78-34A672CC5E08}"/>
    <cellStyle name="Currency 7" xfId="531" xr:uid="{A0E0CDAE-364C-4C59-BCBD-F3CA1B9F547E}"/>
    <cellStyle name="Currency 7 2" xfId="573" xr:uid="{D3D95CAB-D3A2-4004-AA04-8DE5B3BBE2ED}"/>
    <cellStyle name="Currency 7 2 2" xfId="693" xr:uid="{EE529885-4F4F-48D1-987A-22D35AF3A57F}"/>
    <cellStyle name="Currency 7 2 2 2" xfId="799" xr:uid="{490FF164-3B0E-4C02-BC5B-1F59AB6AF215}"/>
    <cellStyle name="Currency 7 2 3" xfId="740" xr:uid="{BC0C06D8-6F63-4B84-AAFE-F79832A9567F}"/>
    <cellStyle name="Currency 7 3" xfId="640" xr:uid="{24C66C52-1916-462C-B2BB-96863249DA6A}"/>
    <cellStyle name="Currency 7 3 2" xfId="753" xr:uid="{C101AB47-D122-4088-B9B9-A5CD72A33FA5}"/>
    <cellStyle name="Currency 7 4" xfId="660" xr:uid="{3A9D8E41-59FA-476D-B8B0-EE71BE3A96F9}"/>
    <cellStyle name="Currency 7 4 2" xfId="766" xr:uid="{2AB1BB4C-FFB2-49A6-85A6-57DDD0D60036}"/>
    <cellStyle name="Currency 7 5" xfId="707" xr:uid="{C9267FA4-10DA-445D-A2CB-6402D5B8C849}"/>
    <cellStyle name="Currency 8" xfId="572" xr:uid="{0834D70B-18E7-4E30-AEA6-6BB9DD03E91E}"/>
    <cellStyle name="Currency 8 2" xfId="639" xr:uid="{67766377-3772-4365-BA06-D4277CD1AEA0}"/>
    <cellStyle name="Currency 8 2 2" xfId="752" xr:uid="{F284B9A6-FD00-401C-ABC5-71E28655AA21}"/>
    <cellStyle name="Currency 8 3" xfId="692" xr:uid="{6A1A4B29-DD92-4DD5-9E2F-D0E077F19A1C}"/>
    <cellStyle name="Currency 8 3 2" xfId="798" xr:uid="{31F0BA83-2939-463F-87A7-270A3D93D6B8}"/>
    <cellStyle name="Currency 8 4" xfId="739" xr:uid="{A6F22CBC-78E0-4E7F-8BF6-165A40FFD324}"/>
    <cellStyle name="Currency 9" xfId="584" xr:uid="{AFF9E21B-880C-4F76-9299-25982E5E7A8B}"/>
    <cellStyle name="Currency 9 2" xfId="645" xr:uid="{484C72C6-8CBC-42D2-8D54-6EB910ED1D9E}"/>
    <cellStyle name="Currency 9 2 2" xfId="758" xr:uid="{15BB45D0-A7AB-47AB-9BCD-24303F30EC78}"/>
    <cellStyle name="Currency 9 3" xfId="698" xr:uid="{05D6B2F1-A21E-4DC9-A383-3529BA2EF591}"/>
    <cellStyle name="Currency 9 3 2" xfId="804" xr:uid="{6116B808-0EC6-45A3-8E3D-7156A27EFBEF}"/>
    <cellStyle name="Currency 9 4" xfId="745" xr:uid="{58F00513-036D-4778-9823-FD656E4761B2}"/>
    <cellStyle name="Entrée" xfId="9" builtinId="20" customBuiltin="1"/>
    <cellStyle name="Entrée 2" xfId="339" xr:uid="{00000000-0005-0000-0000-0000F5000000}"/>
    <cellStyle name="Entrée 2 2" xfId="340" xr:uid="{00000000-0005-0000-0000-0000F6000000}"/>
    <cellStyle name="Entrée 3" xfId="341" xr:uid="{00000000-0005-0000-0000-0000F7000000}"/>
    <cellStyle name="Entrée 3 2" xfId="342" xr:uid="{00000000-0005-0000-0000-0000F8000000}"/>
    <cellStyle name="Entrée 4" xfId="343" xr:uid="{00000000-0005-0000-0000-0000F9000000}"/>
    <cellStyle name="Entrée 5" xfId="344" xr:uid="{00000000-0005-0000-0000-0000FA000000}"/>
    <cellStyle name="Entrée 6" xfId="345" xr:uid="{00000000-0005-0000-0000-0000FB000000}"/>
    <cellStyle name="Euro" xfId="346" xr:uid="{00000000-0005-0000-0000-0000FC000000}"/>
    <cellStyle name="Euro 10" xfId="648" xr:uid="{4978CAED-C824-4326-87CA-5B830CCCB631}"/>
    <cellStyle name="Euro 10 2" xfId="761" xr:uid="{9F7120E2-8DBB-4782-BC95-CD27CB34284C}"/>
    <cellStyle name="Euro 2" xfId="347" xr:uid="{00000000-0005-0000-0000-0000FD000000}"/>
    <cellStyle name="Euro 2 2" xfId="348" xr:uid="{00000000-0005-0000-0000-0000FE000000}"/>
    <cellStyle name="Euro 2 3" xfId="622" xr:uid="{F107CB8C-4065-4EED-BBD6-A33DC8AD8C25}"/>
    <cellStyle name="Euro 2 3 2" xfId="702" xr:uid="{49EEFE55-9BE0-4EAF-8B38-17AB5FAEE851}"/>
    <cellStyle name="Euro 2 3 2 2" xfId="808" xr:uid="{8BA0EA89-1E7B-4187-AAFB-7CF862E74FF5}"/>
    <cellStyle name="Euro 2 3 3" xfId="749" xr:uid="{051D4297-C1A3-4C1F-9480-C538A6862322}"/>
    <cellStyle name="Euro 2 4" xfId="649" xr:uid="{250256EF-F76E-492C-AFBE-BC94E2867E71}"/>
    <cellStyle name="Euro 2 4 2" xfId="762" xr:uid="{970BA1F8-40AB-4E63-86F6-8ABEA64105E1}"/>
    <cellStyle name="Euro 3" xfId="349" xr:uid="{00000000-0005-0000-0000-0000FF000000}"/>
    <cellStyle name="Euro 3 2" xfId="613" xr:uid="{43E5B991-7BC1-4789-96BD-C6DB690C24A3}"/>
    <cellStyle name="Euro 4" xfId="350" xr:uid="{00000000-0005-0000-0000-000000010000}"/>
    <cellStyle name="Euro 5" xfId="351" xr:uid="{00000000-0005-0000-0000-000001010000}"/>
    <cellStyle name="Euro 6" xfId="352" xr:uid="{00000000-0005-0000-0000-000002010000}"/>
    <cellStyle name="Euro 7" xfId="353" xr:uid="{00000000-0005-0000-0000-000003010000}"/>
    <cellStyle name="Euro 8" xfId="354" xr:uid="{00000000-0005-0000-0000-000004010000}"/>
    <cellStyle name="Euro 8 2" xfId="545" xr:uid="{466F08F6-1DF4-4DF2-BCCA-349C50AB0AC9}"/>
    <cellStyle name="Euro 8 2 2" xfId="674" xr:uid="{1DB6439A-0E7D-4A28-A18E-CAACEE430F16}"/>
    <cellStyle name="Euro 8 2 2 2" xfId="780" xr:uid="{33549925-F1F3-45CE-9EC7-9813290283D0}"/>
    <cellStyle name="Euro 8 2 3" xfId="721" xr:uid="{19EF7981-9A23-4E49-9099-A92BA78CFD13}"/>
    <cellStyle name="Euro 9" xfId="594" xr:uid="{A30E9C34-1CB5-4921-BD2E-D3458B9CDFED}"/>
    <cellStyle name="Euro 9 2" xfId="701" xr:uid="{968DC03B-FFB5-4F5E-AFD9-47DACB9DADD2}"/>
    <cellStyle name="Euro 9 2 2" xfId="807" xr:uid="{B40B6866-A0AA-43F9-AAE6-82B414E200A2}"/>
    <cellStyle name="Euro 9 3" xfId="748" xr:uid="{CCF1F919-CF95-4C4D-9FD2-5D5C3AFDB3D7}"/>
    <cellStyle name="Excel Built-in Normal" xfId="614" xr:uid="{0A024674-A4B3-47A8-882A-A1154C2C44C0}"/>
    <cellStyle name="Insatisfaisant" xfId="7" builtinId="27" customBuiltin="1"/>
    <cellStyle name="Insatisfaisant 2" xfId="355" xr:uid="{00000000-0005-0000-0000-000006010000}"/>
    <cellStyle name="Insatisfaisant 3" xfId="568" xr:uid="{126BD8C0-C14A-42C7-AC67-6F1812665AF4}"/>
    <cellStyle name="Lien hypertexte" xfId="703" builtinId="8"/>
    <cellStyle name="Lien hypertexte 2" xfId="635" xr:uid="{7D229A71-3233-44DD-98CD-73A8B05924FB}"/>
    <cellStyle name="Milliers 2" xfId="130" xr:uid="{00000000-0005-0000-0000-000007010000}"/>
    <cellStyle name="Milliers 2 2" xfId="516" xr:uid="{00000000-0005-0000-0000-000008010000}"/>
    <cellStyle name="Milliers 2 2 2" xfId="523" xr:uid="{00000000-0005-0000-0000-000009010000}"/>
    <cellStyle name="Milliers 2 2 2 2" xfId="555" xr:uid="{4A4554E3-0B4C-4002-8AD3-2B6532F54FC4}"/>
    <cellStyle name="Milliers 2 2 2 2 2" xfId="684" xr:uid="{13E77A80-785B-486F-8FBB-78BE7EB7CC40}"/>
    <cellStyle name="Milliers 2 2 2 2 2 2" xfId="790" xr:uid="{70E3BC9C-3590-4213-8853-5394CC0EA84F}"/>
    <cellStyle name="Milliers 2 2 2 2 3" xfId="731" xr:uid="{4EBDA310-8FEA-454B-96C0-B8F859BDBE34}"/>
    <cellStyle name="Milliers 2 2 3" xfId="524" xr:uid="{00000000-0005-0000-0000-00000A010000}"/>
    <cellStyle name="Milliers 2 2 3 2" xfId="556" xr:uid="{3EF41A5A-A399-4DC1-A063-6175356CA39E}"/>
    <cellStyle name="Milliers 2 2 3 2 2" xfId="685" xr:uid="{3B2D8B55-452B-4FBD-9134-229FA64B61E2}"/>
    <cellStyle name="Milliers 2 2 3 2 2 2" xfId="791" xr:uid="{EB06A45D-2490-4316-9937-5C2BAD0DE013}"/>
    <cellStyle name="Milliers 2 2 3 2 3" xfId="732" xr:uid="{BEC22600-E915-4DAD-9934-EE828F02EF24}"/>
    <cellStyle name="Milliers 2 2 4" xfId="525" xr:uid="{00000000-0005-0000-0000-00000B010000}"/>
    <cellStyle name="Milliers 2 2 4 2" xfId="557" xr:uid="{4706F3EF-1F95-4571-BA8F-3250F9CFE415}"/>
    <cellStyle name="Milliers 2 2 4 2 2" xfId="686" xr:uid="{DDCC3A8C-7667-4D90-A793-F8DB6A398CF4}"/>
    <cellStyle name="Milliers 2 2 4 2 2 2" xfId="792" xr:uid="{58170936-B558-4EC2-AFBC-9942BC7EF6F6}"/>
    <cellStyle name="Milliers 2 2 4 2 3" xfId="733" xr:uid="{EB8CDFE9-F86A-4B1C-BC4C-85D665E719EF}"/>
    <cellStyle name="Milliers 2 2 5" xfId="526" xr:uid="{00000000-0005-0000-0000-00000C010000}"/>
    <cellStyle name="Milliers 2 2 5 2" xfId="558" xr:uid="{FAEAF6C7-E5D6-4052-9F95-292F9E1F4532}"/>
    <cellStyle name="Milliers 2 2 5 2 2" xfId="687" xr:uid="{ACCDE6DE-6E35-4918-AA36-A3E5FFD07AC4}"/>
    <cellStyle name="Milliers 2 2 5 2 2 2" xfId="793" xr:uid="{880D44DA-AD43-4F60-89E8-05B991390372}"/>
    <cellStyle name="Milliers 2 2 5 2 3" xfId="734" xr:uid="{E686A2D8-2A1A-4081-AB97-61D74A07837D}"/>
    <cellStyle name="Milliers 2 2 6" xfId="527" xr:uid="{00000000-0005-0000-0000-00000D010000}"/>
    <cellStyle name="Milliers 2 2 6 2" xfId="559" xr:uid="{CA1D82F1-3498-4180-864C-2C055E04F6A5}"/>
    <cellStyle name="Milliers 2 2 6 2 2" xfId="688" xr:uid="{F285287F-36C7-40C9-9357-F43A9BE95405}"/>
    <cellStyle name="Milliers 2 2 6 2 2 2" xfId="794" xr:uid="{AFA75659-92DA-4332-84A3-9AA62429B467}"/>
    <cellStyle name="Milliers 2 2 6 2 3" xfId="735" xr:uid="{25E319DE-3F5D-4873-B2B6-7C45BE0ADCEF}"/>
    <cellStyle name="Milliers 2 2 7" xfId="528" xr:uid="{00000000-0005-0000-0000-00000E010000}"/>
    <cellStyle name="Milliers 2 2 8" xfId="549" xr:uid="{07D07B85-999B-43AA-B2CD-0EC8100E8B1A}"/>
    <cellStyle name="Milliers 2 2 8 2" xfId="678" xr:uid="{729E7927-9BD5-42AF-B3C9-F8AD86B10D31}"/>
    <cellStyle name="Milliers 2 2 8 2 2" xfId="784" xr:uid="{98C598E1-DAA7-4CFC-B1DB-6A1B2C5BC7BB}"/>
    <cellStyle name="Milliers 2 2 8 3" xfId="725" xr:uid="{01237E3E-7FA7-4E29-8030-AC2208674B3C}"/>
    <cellStyle name="Milliers 2 3" xfId="536" xr:uid="{0F97D9A6-860D-4118-987F-F1A358BE608F}"/>
    <cellStyle name="Milliers 2 3 2" xfId="665" xr:uid="{4D438A50-981B-4C65-BD8D-29BE47A953B1}"/>
    <cellStyle name="Milliers 2 3 2 2" xfId="771" xr:uid="{984B661E-058A-466C-B0BE-0111DD8C4227}"/>
    <cellStyle name="Milliers 2 3 3" xfId="712" xr:uid="{CB787649-3AD2-410C-AA2E-CE7C1117C654}"/>
    <cellStyle name="Milliers 2 4" xfId="615" xr:uid="{CB43783B-7B41-46D0-BD7C-FC6E83208B7C}"/>
    <cellStyle name="Milliers 3" xfId="52" xr:uid="{00000000-0005-0000-0000-00000F010000}"/>
    <cellStyle name="Milliers 3 2" xfId="519" xr:uid="{00000000-0005-0000-0000-000010010000}"/>
    <cellStyle name="Milliers 3 2 2" xfId="551" xr:uid="{1239F20A-4EDE-4237-8557-07C8332E701D}"/>
    <cellStyle name="Milliers 3 2 2 2" xfId="680" xr:uid="{8B661BF5-45E5-4E9C-9FBE-D28103D1A5B2}"/>
    <cellStyle name="Milliers 3 2 2 2 2" xfId="786" xr:uid="{FAAD6706-00C9-4D39-A4A9-971C16314657}"/>
    <cellStyle name="Milliers 3 2 2 3" xfId="727" xr:uid="{95891500-6A4D-4D99-BCD4-74061EEED820}"/>
    <cellStyle name="Milliers 3 3" xfId="530" xr:uid="{E81A32D0-9AE2-4DD9-BE8D-41F991266E77}"/>
    <cellStyle name="Milliers 3 3 2" xfId="659" xr:uid="{63BB0A0C-47E4-4DE6-BF42-AEC1CC9BF823}"/>
    <cellStyle name="Milliers 3 3 2 2" xfId="765" xr:uid="{7619BC6A-56A7-4285-8D8E-9346DAB958F5}"/>
    <cellStyle name="Milliers 3 3 3" xfId="706" xr:uid="{EDA741CD-66EA-4992-8668-D2405B1CB679}"/>
    <cellStyle name="Milliers 4" xfId="515" xr:uid="{00000000-0005-0000-0000-000011010000}"/>
    <cellStyle name="Milliers 4 2" xfId="522" xr:uid="{00000000-0005-0000-0000-000012010000}"/>
    <cellStyle name="Milliers 4 2 2" xfId="554" xr:uid="{69F9A004-823F-43E2-A080-4A0061C16C62}"/>
    <cellStyle name="Milliers 4 2 2 2" xfId="683" xr:uid="{BBD58F85-B48C-4988-B7CA-B7C5F5BB3E6C}"/>
    <cellStyle name="Milliers 4 2 2 2 2" xfId="789" xr:uid="{F14C088F-E4A1-458D-821A-2412A4470EED}"/>
    <cellStyle name="Milliers 4 2 2 3" xfId="730" xr:uid="{AE5FCD3E-24EE-4B7E-8FE5-9E430494E61A}"/>
    <cellStyle name="Milliers 4 3" xfId="548" xr:uid="{DA86760F-26C7-49CB-AF39-36FC2ADC2DF4}"/>
    <cellStyle name="Milliers 4 3 2" xfId="677" xr:uid="{99FAB355-EA91-4E32-B29F-930D7E72FD82}"/>
    <cellStyle name="Milliers 4 3 2 2" xfId="783" xr:uid="{974566F1-6336-4163-943A-46E5F47B8493}"/>
    <cellStyle name="Milliers 4 3 3" xfId="724" xr:uid="{D165A48C-D4E3-4118-8C51-6C321F0EA288}"/>
    <cellStyle name="Monétaire 2" xfId="517" xr:uid="{00000000-0005-0000-0000-000013010000}"/>
    <cellStyle name="Monétaire 2 2" xfId="520" xr:uid="{00000000-0005-0000-0000-000014010000}"/>
    <cellStyle name="Monétaire 2 2 2" xfId="552" xr:uid="{C2F00F6A-275A-43EF-8764-1BF65BF978AD}"/>
    <cellStyle name="Monétaire 2 2 2 2" xfId="681" xr:uid="{755DBB63-ABB6-47DD-8502-D667CE4DDF4E}"/>
    <cellStyle name="Monétaire 2 2 2 2 2" xfId="787" xr:uid="{16D3D93A-B13B-410D-8FA2-408F764F33E5}"/>
    <cellStyle name="Monétaire 2 2 2 3" xfId="728" xr:uid="{FF6610DE-FCB7-4F69-9220-A3746DB4242E}"/>
    <cellStyle name="Monétaire 2 3" xfId="550" xr:uid="{3890B62E-C7EF-4E25-91B1-2C33D53454E0}"/>
    <cellStyle name="Monétaire 2 3 2" xfId="679" xr:uid="{D703D816-D82D-4823-A9D8-C89D7C5DD727}"/>
    <cellStyle name="Monétaire 2 3 2 2" xfId="785" xr:uid="{41632894-28D4-4981-A816-BB7C7A66268A}"/>
    <cellStyle name="Monétaire 2 3 3" xfId="726" xr:uid="{D3FB4005-8B8A-4655-B390-939DDA8E93F0}"/>
    <cellStyle name="Monétaire 3" xfId="521" xr:uid="{00000000-0005-0000-0000-000015010000}"/>
    <cellStyle name="Monétaire 3 2" xfId="553" xr:uid="{19A43118-29C3-4FCD-B59B-6D411226C376}"/>
    <cellStyle name="Monétaire 3 2 2" xfId="682" xr:uid="{A55DB661-BE5F-44CE-B6FD-EAE02302EE45}"/>
    <cellStyle name="Monétaire 3 2 2 2" xfId="788" xr:uid="{CEDED14A-2E4F-4798-A536-EB99BA570C38}"/>
    <cellStyle name="Monétaire 3 2 3" xfId="729" xr:uid="{A65F10B6-B31A-4227-83B7-C709D9A20AA6}"/>
    <cellStyle name="Neutre" xfId="8" builtinId="28" customBuiltin="1"/>
    <cellStyle name="Neutre 2" xfId="356" xr:uid="{00000000-0005-0000-0000-000017010000}"/>
    <cellStyle name="Neutre 3" xfId="563" xr:uid="{B0662EBB-993E-425B-99C3-A0C03B17E65F}"/>
    <cellStyle name="Normal" xfId="0" builtinId="0"/>
    <cellStyle name="Normal 10" xfId="141" xr:uid="{00000000-0005-0000-0000-000019010000}"/>
    <cellStyle name="Normal 10 2" xfId="634" xr:uid="{2F03F4D5-D736-437C-96D9-A749A8980D73}"/>
    <cellStyle name="Normal 11" xfId="357" xr:uid="{00000000-0005-0000-0000-00001A010000}"/>
    <cellStyle name="Normal 11 2" xfId="358" xr:uid="{00000000-0005-0000-0000-00001B010000}"/>
    <cellStyle name="Normal 12" xfId="55" xr:uid="{00000000-0005-0000-0000-00001C010000}"/>
    <cellStyle name="Normal 12 2" xfId="359" xr:uid="{00000000-0005-0000-0000-00001D010000}"/>
    <cellStyle name="Normal 13" xfId="61" xr:uid="{00000000-0005-0000-0000-00001E010000}"/>
    <cellStyle name="Normal 13 2" xfId="69" xr:uid="{00000000-0005-0000-0000-00001F010000}"/>
    <cellStyle name="Normal 13 2 2" xfId="361" xr:uid="{00000000-0005-0000-0000-000020010000}"/>
    <cellStyle name="Normal 13 3" xfId="360" xr:uid="{00000000-0005-0000-0000-000021010000}"/>
    <cellStyle name="Normal 14" xfId="362" xr:uid="{00000000-0005-0000-0000-000022010000}"/>
    <cellStyle name="Normal 15" xfId="363" xr:uid="{00000000-0005-0000-0000-000023010000}"/>
    <cellStyle name="Normal 16" xfId="140" xr:uid="{00000000-0005-0000-0000-000024010000}"/>
    <cellStyle name="Normal 17" xfId="142" xr:uid="{00000000-0005-0000-0000-000025010000}"/>
    <cellStyle name="Normal 18" xfId="70" xr:uid="{00000000-0005-0000-0000-000026010000}"/>
    <cellStyle name="Normal 19" xfId="46" xr:uid="{00000000-0005-0000-0000-000027010000}"/>
    <cellStyle name="Normal 2" xfId="51" xr:uid="{00000000-0005-0000-0000-000028010000}"/>
    <cellStyle name="Normal 2 2" xfId="74" xr:uid="{00000000-0005-0000-0000-000029010000}"/>
    <cellStyle name="Normal 2 2 2" xfId="123" xr:uid="{00000000-0005-0000-0000-00002A010000}"/>
    <cellStyle name="Normal 2 2 2 2" xfId="623" xr:uid="{57CF56FF-3D2F-426A-A619-D39E21D0AB02}"/>
    <cellStyle name="Normal 2 2 3" xfId="127" xr:uid="{00000000-0005-0000-0000-00002B010000}"/>
    <cellStyle name="Normal 2 2 3 2" xfId="616" xr:uid="{9DB78BF0-2961-4704-9178-459AC218F0A6}"/>
    <cellStyle name="Normal 2 2 4" xfId="365" xr:uid="{00000000-0005-0000-0000-00002C010000}"/>
    <cellStyle name="Normal 2 2 4 2" xfId="596" xr:uid="{3AFA2795-F38A-4BD9-B798-6C93290050C6}"/>
    <cellStyle name="Normal 2 2 5" xfId="590" xr:uid="{74A0B983-F712-4B54-B9FD-392A447156F5}"/>
    <cellStyle name="Normal 2 3" xfId="77" xr:uid="{00000000-0005-0000-0000-00002D010000}"/>
    <cellStyle name="Normal 2 3 2" xfId="125" xr:uid="{00000000-0005-0000-0000-00002E010000}"/>
    <cellStyle name="Normal 2 3 3" xfId="128" xr:uid="{00000000-0005-0000-0000-00002F010000}"/>
    <cellStyle name="Normal 2 3 4" xfId="366" xr:uid="{00000000-0005-0000-0000-000030010000}"/>
    <cellStyle name="Normal 2 3 5" xfId="627" xr:uid="{BDEF9DC6-9C6B-4947-B64E-5F84F4284045}"/>
    <cellStyle name="Normal 2 4" xfId="118" xr:uid="{00000000-0005-0000-0000-000031010000}"/>
    <cellStyle name="Normal 2 4 2" xfId="367" xr:uid="{00000000-0005-0000-0000-000032010000}"/>
    <cellStyle name="Normal 2 4 3" xfId="628" xr:uid="{1F45319C-CF18-41D8-8F55-2A6BDD50B962}"/>
    <cellStyle name="Normal 2 5" xfId="126" xr:uid="{00000000-0005-0000-0000-000033010000}"/>
    <cellStyle name="Normal 2 5 2" xfId="364" xr:uid="{00000000-0005-0000-0000-000034010000}"/>
    <cellStyle name="Normal 2 5 3" xfId="620" xr:uid="{F67A1346-2B1A-4630-ADC1-6906A4C46829}"/>
    <cellStyle name="Normal 2 6" xfId="514" xr:uid="{00000000-0005-0000-0000-000035010000}"/>
    <cellStyle name="Normal 2 6 2" xfId="595" xr:uid="{C867FCC5-FC57-46D4-902E-2948B962EEE5}"/>
    <cellStyle name="Normal 2 7" xfId="518" xr:uid="{00000000-0005-0000-0000-000036010000}"/>
    <cellStyle name="Normal 2 8" xfId="570" xr:uid="{5ED1B346-6201-4A3D-95AC-786D59C80230}"/>
    <cellStyle name="Normal 2_D GARES" xfId="597" xr:uid="{9F81A676-2647-40D0-BB29-E681BE64C224}"/>
    <cellStyle name="Normal 20" xfId="47" xr:uid="{00000000-0005-0000-0000-000037010000}"/>
    <cellStyle name="Normal 20 2" xfId="511" xr:uid="{00000000-0005-0000-0000-000038010000}"/>
    <cellStyle name="Normal 21" xfId="368" xr:uid="{00000000-0005-0000-0000-000039010000}"/>
    <cellStyle name="Normal 22" xfId="369" xr:uid="{00000000-0005-0000-0000-00003A010000}"/>
    <cellStyle name="Normal 23" xfId="71" xr:uid="{00000000-0005-0000-0000-00003B010000}"/>
    <cellStyle name="Normal 23 10" xfId="100" xr:uid="{00000000-0005-0000-0000-00003C010000}"/>
    <cellStyle name="Normal 23 11" xfId="102" xr:uid="{00000000-0005-0000-0000-00003D010000}"/>
    <cellStyle name="Normal 23 12" xfId="104" xr:uid="{00000000-0005-0000-0000-00003E010000}"/>
    <cellStyle name="Normal 23 13" xfId="106" xr:uid="{00000000-0005-0000-0000-00003F010000}"/>
    <cellStyle name="Normal 23 14" xfId="117" xr:uid="{00000000-0005-0000-0000-000040010000}"/>
    <cellStyle name="Normal 23 2" xfId="84" xr:uid="{00000000-0005-0000-0000-000041010000}"/>
    <cellStyle name="Normal 23 3" xfId="86" xr:uid="{00000000-0005-0000-0000-000042010000}"/>
    <cellStyle name="Normal 23 4" xfId="88" xr:uid="{00000000-0005-0000-0000-000043010000}"/>
    <cellStyle name="Normal 23 5" xfId="90" xr:uid="{00000000-0005-0000-0000-000044010000}"/>
    <cellStyle name="Normal 23 6" xfId="92" xr:uid="{00000000-0005-0000-0000-000045010000}"/>
    <cellStyle name="Normal 23 7" xfId="94" xr:uid="{00000000-0005-0000-0000-000046010000}"/>
    <cellStyle name="Normal 23 8" xfId="96" xr:uid="{00000000-0005-0000-0000-000047010000}"/>
    <cellStyle name="Normal 23 9" xfId="98" xr:uid="{00000000-0005-0000-0000-000048010000}"/>
    <cellStyle name="Normal 24" xfId="370" xr:uid="{00000000-0005-0000-0000-000049010000}"/>
    <cellStyle name="Normal 25" xfId="72" xr:uid="{00000000-0005-0000-0000-00004A010000}"/>
    <cellStyle name="Normal 25 10" xfId="101" xr:uid="{00000000-0005-0000-0000-00004B010000}"/>
    <cellStyle name="Normal 25 11" xfId="103" xr:uid="{00000000-0005-0000-0000-00004C010000}"/>
    <cellStyle name="Normal 25 12" xfId="105" xr:uid="{00000000-0005-0000-0000-00004D010000}"/>
    <cellStyle name="Normal 25 13" xfId="107" xr:uid="{00000000-0005-0000-0000-00004E010000}"/>
    <cellStyle name="Normal 25 14" xfId="371" xr:uid="{00000000-0005-0000-0000-00004F010000}"/>
    <cellStyle name="Normal 25 2" xfId="85" xr:uid="{00000000-0005-0000-0000-000050010000}"/>
    <cellStyle name="Normal 25 3" xfId="87" xr:uid="{00000000-0005-0000-0000-000051010000}"/>
    <cellStyle name="Normal 25 4" xfId="89" xr:uid="{00000000-0005-0000-0000-000052010000}"/>
    <cellStyle name="Normal 25 5" xfId="91" xr:uid="{00000000-0005-0000-0000-000053010000}"/>
    <cellStyle name="Normal 25 6" xfId="93" xr:uid="{00000000-0005-0000-0000-000054010000}"/>
    <cellStyle name="Normal 25 7" xfId="95" xr:uid="{00000000-0005-0000-0000-000055010000}"/>
    <cellStyle name="Normal 25 8" xfId="97" xr:uid="{00000000-0005-0000-0000-000056010000}"/>
    <cellStyle name="Normal 25 9" xfId="99" xr:uid="{00000000-0005-0000-0000-000057010000}"/>
    <cellStyle name="Normal 26" xfId="78" xr:uid="{00000000-0005-0000-0000-000058010000}"/>
    <cellStyle name="Normal 27" xfId="372" xr:uid="{00000000-0005-0000-0000-000059010000}"/>
    <cellStyle name="Normal 28" xfId="79" xr:uid="{00000000-0005-0000-0000-00005A010000}"/>
    <cellStyle name="Normal 29" xfId="373" xr:uid="{00000000-0005-0000-0000-00005B010000}"/>
    <cellStyle name="Normal 3" xfId="50" xr:uid="{00000000-0005-0000-0000-00005C010000}"/>
    <cellStyle name="Normal 3 10" xfId="598" xr:uid="{F193A412-CAF9-4AA5-BD06-419BB63CA43D}"/>
    <cellStyle name="Normal 3 2" xfId="60" xr:uid="{00000000-0005-0000-0000-00005D010000}"/>
    <cellStyle name="Normal 3 2 2" xfId="68" xr:uid="{00000000-0005-0000-0000-00005E010000}"/>
    <cellStyle name="Normal 3 2 2 2" xfId="375" xr:uid="{00000000-0005-0000-0000-00005F010000}"/>
    <cellStyle name="Normal 3 2 2 3" xfId="108" xr:uid="{00000000-0005-0000-0000-000060010000}"/>
    <cellStyle name="Normal 3 2 3" xfId="374" xr:uid="{00000000-0005-0000-0000-000061010000}"/>
    <cellStyle name="Normal 3 2 4" xfId="75" xr:uid="{00000000-0005-0000-0000-000062010000}"/>
    <cellStyle name="Normal 3 2 5" xfId="109" xr:uid="{00000000-0005-0000-0000-000063010000}"/>
    <cellStyle name="Normal 3 3" xfId="62" xr:uid="{00000000-0005-0000-0000-000064010000}"/>
    <cellStyle name="Normal 3 3 2" xfId="376" xr:uid="{00000000-0005-0000-0000-000065010000}"/>
    <cellStyle name="Normal 3 3 3" xfId="76" xr:uid="{00000000-0005-0000-0000-000066010000}"/>
    <cellStyle name="Normal 3 4" xfId="124" xr:uid="{00000000-0005-0000-0000-000067010000}"/>
    <cellStyle name="Normal 3 4 2" xfId="377" xr:uid="{00000000-0005-0000-0000-000068010000}"/>
    <cellStyle name="Normal 3 5" xfId="58" xr:uid="{00000000-0005-0000-0000-000069010000}"/>
    <cellStyle name="Normal 3 5 2" xfId="66" xr:uid="{00000000-0005-0000-0000-00006A010000}"/>
    <cellStyle name="Normal 3 6" xfId="378" xr:uid="{00000000-0005-0000-0000-00006B010000}"/>
    <cellStyle name="Normal 3 7" xfId="379" xr:uid="{00000000-0005-0000-0000-00006C010000}"/>
    <cellStyle name="Normal 3 8" xfId="110" xr:uid="{00000000-0005-0000-0000-00006D010000}"/>
    <cellStyle name="Normal 3 8 2" xfId="513" xr:uid="{00000000-0005-0000-0000-00006E010000}"/>
    <cellStyle name="Normal 3 9" xfId="512" xr:uid="{00000000-0005-0000-0000-00006F010000}"/>
    <cellStyle name="Normal 30" xfId="80" xr:uid="{00000000-0005-0000-0000-000070010000}"/>
    <cellStyle name="Normal 30 2" xfId="380" xr:uid="{00000000-0005-0000-0000-000071010000}"/>
    <cellStyle name="Normal 31" xfId="45" xr:uid="{00000000-0005-0000-0000-000072010000}"/>
    <cellStyle name="Normal 32" xfId="143" xr:uid="{00000000-0005-0000-0000-000073010000}"/>
    <cellStyle name="Normal 33" xfId="81" xr:uid="{00000000-0005-0000-0000-000074010000}"/>
    <cellStyle name="Normal 34" xfId="562" xr:uid="{4612874F-FB62-4E76-A5FC-4C30FDEA0096}"/>
    <cellStyle name="Normal 34 2" xfId="651" xr:uid="{908C1DBF-C4C1-487D-9598-FE2D4F411F89}"/>
    <cellStyle name="Normal 34 3" xfId="650" xr:uid="{3F651C21-21F3-45B2-AC8B-A821033AC0F3}"/>
    <cellStyle name="Normal 35" xfId="82" xr:uid="{00000000-0005-0000-0000-000075010000}"/>
    <cellStyle name="Normal 37" xfId="83" xr:uid="{00000000-0005-0000-0000-000076010000}"/>
    <cellStyle name="Normal 4" xfId="54" xr:uid="{00000000-0005-0000-0000-000077010000}"/>
    <cellStyle name="Normal 4 2" xfId="382" xr:uid="{00000000-0005-0000-0000-000078010000}"/>
    <cellStyle name="Normal 4 2 2" xfId="383" xr:uid="{00000000-0005-0000-0000-000079010000}"/>
    <cellStyle name="Normal 4 2 3" xfId="619" xr:uid="{34B6F41E-A8AD-49D3-B669-C27D2D4E9183}"/>
    <cellStyle name="Normal 4 3" xfId="384" xr:uid="{00000000-0005-0000-0000-00007A010000}"/>
    <cellStyle name="Normal 4 4" xfId="385" xr:uid="{00000000-0005-0000-0000-00007B010000}"/>
    <cellStyle name="Normal 4 5" xfId="386" xr:uid="{00000000-0005-0000-0000-00007C010000}"/>
    <cellStyle name="Normal 4 6" xfId="387" xr:uid="{00000000-0005-0000-0000-00007D010000}"/>
    <cellStyle name="Normal 4 7" xfId="388" xr:uid="{00000000-0005-0000-0000-00007E010000}"/>
    <cellStyle name="Normal 4 8" xfId="381" xr:uid="{00000000-0005-0000-0000-00007F010000}"/>
    <cellStyle name="Normal 4 9" xfId="599" xr:uid="{E6143691-3A88-4C4A-856A-6E8019F27A1B}"/>
    <cellStyle name="Normal 5" xfId="129" xr:uid="{00000000-0005-0000-0000-000080010000}"/>
    <cellStyle name="Normal 5 2" xfId="390" xr:uid="{00000000-0005-0000-0000-000081010000}"/>
    <cellStyle name="Normal 5 2 2" xfId="391" xr:uid="{00000000-0005-0000-0000-000082010000}"/>
    <cellStyle name="Normal 5 2 3" xfId="629" xr:uid="{20A2E02D-D794-4251-8CD3-6C0DC27C1073}"/>
    <cellStyle name="Normal 5 3" xfId="392" xr:uid="{00000000-0005-0000-0000-000083010000}"/>
    <cellStyle name="Normal 5 4" xfId="393" xr:uid="{00000000-0005-0000-0000-000084010000}"/>
    <cellStyle name="Normal 5 5" xfId="394" xr:uid="{00000000-0005-0000-0000-000085010000}"/>
    <cellStyle name="Normal 5 6" xfId="395" xr:uid="{00000000-0005-0000-0000-000086010000}"/>
    <cellStyle name="Normal 5 7" xfId="396" xr:uid="{00000000-0005-0000-0000-000087010000}"/>
    <cellStyle name="Normal 5 8" xfId="389" xr:uid="{00000000-0005-0000-0000-000088010000}"/>
    <cellStyle name="Normal 5 9" xfId="600" xr:uid="{56259999-8955-47EF-A3C9-94D556782F16}"/>
    <cellStyle name="Normal 6" xfId="53" xr:uid="{00000000-0005-0000-0000-000089010000}"/>
    <cellStyle name="Normal 6 10" xfId="57" xr:uid="{00000000-0005-0000-0000-00008A010000}"/>
    <cellStyle name="Normal 6 10 2" xfId="65" xr:uid="{00000000-0005-0000-0000-00008B010000}"/>
    <cellStyle name="Normal 6 2" xfId="56" xr:uid="{00000000-0005-0000-0000-00008C010000}"/>
    <cellStyle name="Normal 6 2 2" xfId="64" xr:uid="{00000000-0005-0000-0000-00008D010000}"/>
    <cellStyle name="Normal 6 2 2 2" xfId="398" xr:uid="{00000000-0005-0000-0000-00008E010000}"/>
    <cellStyle name="Normal 6 2 3" xfId="618" xr:uid="{70B133E6-4E59-4605-BDBF-6C0142E91C3D}"/>
    <cellStyle name="Normal 6 3" xfId="63" xr:uid="{00000000-0005-0000-0000-00008F010000}"/>
    <cellStyle name="Normal 6 4" xfId="397" xr:uid="{00000000-0005-0000-0000-000090010000}"/>
    <cellStyle name="Normal 6 5" xfId="601" xr:uid="{FE6ABA2F-27CC-4BE1-BB81-35F60CC356A7}"/>
    <cellStyle name="Normal 7" xfId="132" xr:uid="{00000000-0005-0000-0000-000091010000}"/>
    <cellStyle name="Normal 7 2" xfId="400" xr:uid="{00000000-0005-0000-0000-000092010000}"/>
    <cellStyle name="Normal 7 3" xfId="399" xr:uid="{00000000-0005-0000-0000-000093010000}"/>
    <cellStyle name="Normal 7 4" xfId="611" xr:uid="{1EF893E3-FFBA-48FB-9F8F-1C09576A53E5}"/>
    <cellStyle name="Normal 8" xfId="401" xr:uid="{00000000-0005-0000-0000-000094010000}"/>
    <cellStyle name="Normal 8 2" xfId="630" xr:uid="{42FB8DE3-F54A-4419-BB0F-BF4D00C66E37}"/>
    <cellStyle name="Normal 9" xfId="402" xr:uid="{00000000-0005-0000-0000-000095010000}"/>
    <cellStyle name="Normal 9 2" xfId="591" xr:uid="{0045E47D-DE41-4088-BF62-9D0DBFD12A7E}"/>
    <cellStyle name="Normale 2" xfId="42" xr:uid="{00000000-0005-0000-0000-000096010000}"/>
    <cellStyle name="Normalny_CAMPANILE" xfId="602" xr:uid="{DFC3DB42-C4A3-4892-AE40-ADF635CBAD05}"/>
    <cellStyle name="Note" xfId="15" builtinId="10" customBuiltin="1"/>
    <cellStyle name="Percent" xfId="529" xr:uid="{00000000-0005-0000-0000-000098010000}"/>
    <cellStyle name="Percent 2" xfId="133" xr:uid="{00000000-0005-0000-0000-000099010000}"/>
    <cellStyle name="Pourcentage" xfId="561" builtinId="5"/>
    <cellStyle name="Pourcentage 2" xfId="59" xr:uid="{00000000-0005-0000-0000-00009A010000}"/>
    <cellStyle name="Pourcentage 2 2" xfId="67" xr:uid="{00000000-0005-0000-0000-00009B010000}"/>
    <cellStyle name="Pourcentage 2 2 2" xfId="404" xr:uid="{00000000-0005-0000-0000-00009C010000}"/>
    <cellStyle name="Pourcentage 2 2 3" xfId="604" xr:uid="{AEA09CE5-25E1-4985-AAB7-4546849FC6E9}"/>
    <cellStyle name="Pourcentage 2 3" xfId="403" xr:uid="{00000000-0005-0000-0000-00009D010000}"/>
    <cellStyle name="Pourcentage 2 3 2" xfId="603" xr:uid="{47F7C422-9DFB-42E8-B5BE-023EAEC38D0B}"/>
    <cellStyle name="Pourcentage 2 4" xfId="571" xr:uid="{66E654D9-B1C5-4FAF-96FE-95CF4318FD15}"/>
    <cellStyle name="Pourcentage 3" xfId="405" xr:uid="{00000000-0005-0000-0000-00009E010000}"/>
    <cellStyle name="Pourcentage 4" xfId="406" xr:uid="{00000000-0005-0000-0000-00009F010000}"/>
    <cellStyle name="Pourcentage 5" xfId="131" xr:uid="{00000000-0005-0000-0000-0000A0010000}"/>
    <cellStyle name="Pourcentage 6" xfId="49" xr:uid="{00000000-0005-0000-0000-0000A1010000}"/>
    <cellStyle name="Remarque_ACCUEIL.VMAN.12.12.MOIS.TAB GC(2).xls" xfId="605" xr:uid="{4E40F0F5-DBE2-4BFB-8F77-AFCB7CB0692F}"/>
    <cellStyle name="SAPBEXaggData" xfId="407" xr:uid="{00000000-0005-0000-0000-0000A2010000}"/>
    <cellStyle name="SAPBEXaggDataEmph" xfId="408" xr:uid="{00000000-0005-0000-0000-0000A3010000}"/>
    <cellStyle name="SAPBEXaggItem" xfId="409" xr:uid="{00000000-0005-0000-0000-0000A4010000}"/>
    <cellStyle name="SAPBEXaggItemX" xfId="410" xr:uid="{00000000-0005-0000-0000-0000A5010000}"/>
    <cellStyle name="SAPBEXchaText" xfId="411" xr:uid="{00000000-0005-0000-0000-0000A6010000}"/>
    <cellStyle name="SAPBEXexcBad7" xfId="412" xr:uid="{00000000-0005-0000-0000-0000A7010000}"/>
    <cellStyle name="SAPBEXexcBad8" xfId="413" xr:uid="{00000000-0005-0000-0000-0000A8010000}"/>
    <cellStyle name="SAPBEXexcBad9" xfId="414" xr:uid="{00000000-0005-0000-0000-0000A9010000}"/>
    <cellStyle name="SAPBEXexcCritical4" xfId="415" xr:uid="{00000000-0005-0000-0000-0000AA010000}"/>
    <cellStyle name="SAPBEXexcCritical5" xfId="416" xr:uid="{00000000-0005-0000-0000-0000AB010000}"/>
    <cellStyle name="SAPBEXexcCritical6" xfId="417" xr:uid="{00000000-0005-0000-0000-0000AC010000}"/>
    <cellStyle name="SAPBEXexcGood1" xfId="418" xr:uid="{00000000-0005-0000-0000-0000AD010000}"/>
    <cellStyle name="SAPBEXexcGood2" xfId="419" xr:uid="{00000000-0005-0000-0000-0000AE010000}"/>
    <cellStyle name="SAPBEXexcGood3" xfId="420" xr:uid="{00000000-0005-0000-0000-0000AF010000}"/>
    <cellStyle name="SAPBEXfilterDrill" xfId="421" xr:uid="{00000000-0005-0000-0000-0000B0010000}"/>
    <cellStyle name="SAPBEXfilterItem" xfId="422" xr:uid="{00000000-0005-0000-0000-0000B1010000}"/>
    <cellStyle name="SAPBEXfilterText" xfId="423" xr:uid="{00000000-0005-0000-0000-0000B2010000}"/>
    <cellStyle name="SAPBEXformats" xfId="424" xr:uid="{00000000-0005-0000-0000-0000B3010000}"/>
    <cellStyle name="SAPBEXheaderItem" xfId="425" xr:uid="{00000000-0005-0000-0000-0000B4010000}"/>
    <cellStyle name="SAPBEXheaderText" xfId="426" xr:uid="{00000000-0005-0000-0000-0000B5010000}"/>
    <cellStyle name="SAPBEXHLevel0" xfId="427" xr:uid="{00000000-0005-0000-0000-0000B6010000}"/>
    <cellStyle name="SAPBEXHLevel0X" xfId="428" xr:uid="{00000000-0005-0000-0000-0000B7010000}"/>
    <cellStyle name="SAPBEXHLevel1" xfId="429" xr:uid="{00000000-0005-0000-0000-0000B8010000}"/>
    <cellStyle name="SAPBEXHLevel1X" xfId="430" xr:uid="{00000000-0005-0000-0000-0000B9010000}"/>
    <cellStyle name="SAPBEXHLevel2" xfId="431" xr:uid="{00000000-0005-0000-0000-0000BA010000}"/>
    <cellStyle name="SAPBEXHLevel2X" xfId="432" xr:uid="{00000000-0005-0000-0000-0000BB010000}"/>
    <cellStyle name="SAPBEXHLevel3" xfId="433" xr:uid="{00000000-0005-0000-0000-0000BC010000}"/>
    <cellStyle name="SAPBEXHLevel3X" xfId="434" xr:uid="{00000000-0005-0000-0000-0000BD010000}"/>
    <cellStyle name="SAPBEXresData" xfId="435" xr:uid="{00000000-0005-0000-0000-0000BE010000}"/>
    <cellStyle name="SAPBEXresDataEmph" xfId="436" xr:uid="{00000000-0005-0000-0000-0000BF010000}"/>
    <cellStyle name="SAPBEXresItem" xfId="437" xr:uid="{00000000-0005-0000-0000-0000C0010000}"/>
    <cellStyle name="SAPBEXresItemX" xfId="438" xr:uid="{00000000-0005-0000-0000-0000C1010000}"/>
    <cellStyle name="SAPBEXstdData" xfId="439" xr:uid="{00000000-0005-0000-0000-0000C2010000}"/>
    <cellStyle name="SAPBEXstdDataEmph" xfId="440" xr:uid="{00000000-0005-0000-0000-0000C3010000}"/>
    <cellStyle name="SAPBEXstdItem" xfId="441" xr:uid="{00000000-0005-0000-0000-0000C4010000}"/>
    <cellStyle name="SAPBEXstdItemX" xfId="442" xr:uid="{00000000-0005-0000-0000-0000C5010000}"/>
    <cellStyle name="SAPBEXtitle" xfId="443" xr:uid="{00000000-0005-0000-0000-0000C6010000}"/>
    <cellStyle name="SAPBEXundefined" xfId="444" xr:uid="{00000000-0005-0000-0000-0000C7010000}"/>
    <cellStyle name="Satisfaisant" xfId="6" builtinId="26" customBuiltin="1"/>
    <cellStyle name="Satisfaisant 2" xfId="445" xr:uid="{00000000-0005-0000-0000-0000C9010000}"/>
    <cellStyle name="Satisfaisant 2 2" xfId="446" xr:uid="{00000000-0005-0000-0000-0000CA010000}"/>
    <cellStyle name="Satisfaisant 2 3" xfId="624" xr:uid="{7EAF6489-46E8-4CA0-A070-8F26E14685E5}"/>
    <cellStyle name="Satisfaisant 3" xfId="447" xr:uid="{00000000-0005-0000-0000-0000CB010000}"/>
    <cellStyle name="Satisfaisant 3 2" xfId="448" xr:uid="{00000000-0005-0000-0000-0000CC010000}"/>
    <cellStyle name="Satisfaisant 4" xfId="449" xr:uid="{00000000-0005-0000-0000-0000CD010000}"/>
    <cellStyle name="Satisfaisant 5" xfId="450" xr:uid="{00000000-0005-0000-0000-0000CE010000}"/>
    <cellStyle name="Satisfaisant 6" xfId="451" xr:uid="{00000000-0005-0000-0000-0000CF010000}"/>
    <cellStyle name="Satisfaisant 7" xfId="569" xr:uid="{3506E7BF-B33C-4A29-94CF-2C43EACBD1BB}"/>
    <cellStyle name="Sortie" xfId="10" builtinId="21" customBuiltin="1"/>
    <cellStyle name="Sortie 2" xfId="452" xr:uid="{00000000-0005-0000-0000-0000D1010000}"/>
    <cellStyle name="Sortie 2 2" xfId="453" xr:uid="{00000000-0005-0000-0000-0000D2010000}"/>
    <cellStyle name="Sortie 3" xfId="454" xr:uid="{00000000-0005-0000-0000-0000D3010000}"/>
    <cellStyle name="Sortie 3 2" xfId="455" xr:uid="{00000000-0005-0000-0000-0000D4010000}"/>
    <cellStyle name="Sortie 4" xfId="456" xr:uid="{00000000-0005-0000-0000-0000D5010000}"/>
    <cellStyle name="Sortie 5" xfId="457" xr:uid="{00000000-0005-0000-0000-0000D6010000}"/>
    <cellStyle name="Sortie 6" xfId="458" xr:uid="{00000000-0005-0000-0000-0000D7010000}"/>
    <cellStyle name="Standaard_CP-NL-TYPE-IN" xfId="606" xr:uid="{D360F204-311A-4473-A64E-7CE3EBDEF977}"/>
    <cellStyle name="Style 1" xfId="607" xr:uid="{1C54B089-6587-4A10-BC16-A9609827B57A}"/>
    <cellStyle name="StyleCorps" xfId="608" xr:uid="{6BC88A96-E417-411D-9F6F-562EF0340ADF}"/>
    <cellStyle name="Texte explicatif" xfId="16" builtinId="53" customBuiltin="1"/>
    <cellStyle name="Texte explicatif 2" xfId="459" xr:uid="{00000000-0005-0000-0000-0000D9010000}"/>
    <cellStyle name="Texte explicatif 2 2" xfId="460" xr:uid="{00000000-0005-0000-0000-0000DA010000}"/>
    <cellStyle name="Texte explicatif 3" xfId="461" xr:uid="{00000000-0005-0000-0000-0000DB010000}"/>
    <cellStyle name="Texte explicatif 3 2" xfId="462" xr:uid="{00000000-0005-0000-0000-0000DC010000}"/>
    <cellStyle name="Texte explicatif 4" xfId="463" xr:uid="{00000000-0005-0000-0000-0000DD010000}"/>
    <cellStyle name="Texte explicatif 5" xfId="464" xr:uid="{00000000-0005-0000-0000-0000DE010000}"/>
    <cellStyle name="Texte explicatif 6" xfId="465" xr:uid="{00000000-0005-0000-0000-0000DF010000}"/>
    <cellStyle name="Titre" xfId="1" builtinId="15" customBuiltin="1"/>
    <cellStyle name="Titre 1_ACCUEIL.VMAN.12.12.MOIS.TAB GC(2).xls" xfId="609" xr:uid="{E2F89FC7-35E3-420B-85E5-AAA9CCA5F8EB}"/>
    <cellStyle name="Titre 2" xfId="466" xr:uid="{00000000-0005-0000-0000-0000E1010000}"/>
    <cellStyle name="Titre 2 2" xfId="467" xr:uid="{00000000-0005-0000-0000-0000E2010000}"/>
    <cellStyle name="Titre 3" xfId="468" xr:uid="{00000000-0005-0000-0000-0000E3010000}"/>
    <cellStyle name="Titre 3 2" xfId="469" xr:uid="{00000000-0005-0000-0000-0000E4010000}"/>
    <cellStyle name="Titre 4" xfId="470" xr:uid="{00000000-0005-0000-0000-0000E5010000}"/>
    <cellStyle name="Titre 5" xfId="471" xr:uid="{00000000-0005-0000-0000-0000E6010000}"/>
    <cellStyle name="Titre 6" xfId="472" xr:uid="{00000000-0005-0000-0000-0000E7010000}"/>
    <cellStyle name="Titre 1" xfId="2" builtinId="16" customBuiltin="1"/>
    <cellStyle name="Titre 1 2" xfId="473" xr:uid="{00000000-0005-0000-0000-0000E9010000}"/>
    <cellStyle name="Titre 1 2 2" xfId="474" xr:uid="{00000000-0005-0000-0000-0000EA010000}"/>
    <cellStyle name="Titre 1 3" xfId="475" xr:uid="{00000000-0005-0000-0000-0000EB010000}"/>
    <cellStyle name="Titre 1 3 2" xfId="476" xr:uid="{00000000-0005-0000-0000-0000EC010000}"/>
    <cellStyle name="Titre 1 4" xfId="477" xr:uid="{00000000-0005-0000-0000-0000ED010000}"/>
    <cellStyle name="Titre 1 5" xfId="478" xr:uid="{00000000-0005-0000-0000-0000EE010000}"/>
    <cellStyle name="Titre 1 6" xfId="479" xr:uid="{00000000-0005-0000-0000-0000EF010000}"/>
    <cellStyle name="Titre 2" xfId="3" builtinId="17" customBuiltin="1"/>
    <cellStyle name="Titre 2 2" xfId="480" xr:uid="{00000000-0005-0000-0000-0000F1010000}"/>
    <cellStyle name="Titre 2 2 2" xfId="481" xr:uid="{00000000-0005-0000-0000-0000F2010000}"/>
    <cellStyle name="Titre 2 3" xfId="482" xr:uid="{00000000-0005-0000-0000-0000F3010000}"/>
    <cellStyle name="Titre 2 3 2" xfId="483" xr:uid="{00000000-0005-0000-0000-0000F4010000}"/>
    <cellStyle name="Titre 2 4" xfId="484" xr:uid="{00000000-0005-0000-0000-0000F5010000}"/>
    <cellStyle name="Titre 2 5" xfId="485" xr:uid="{00000000-0005-0000-0000-0000F6010000}"/>
    <cellStyle name="Titre 2 6" xfId="486" xr:uid="{00000000-0005-0000-0000-0000F7010000}"/>
    <cellStyle name="Titre 3" xfId="4" builtinId="18" customBuiltin="1"/>
    <cellStyle name="Titre 3 2" xfId="487" xr:uid="{00000000-0005-0000-0000-0000F9010000}"/>
    <cellStyle name="Titre 3 2 2" xfId="488" xr:uid="{00000000-0005-0000-0000-0000FA010000}"/>
    <cellStyle name="Titre 3 2 2 2" xfId="654" xr:uid="{BB7C30D3-292A-497F-9E9C-08B016C88D1F}"/>
    <cellStyle name="Titre 3 2 3" xfId="625" xr:uid="{660DB2E0-2D4D-4878-B676-6F6E25F7100B}"/>
    <cellStyle name="Titre 3 3" xfId="489" xr:uid="{00000000-0005-0000-0000-0000FB010000}"/>
    <cellStyle name="Titre 3 3 2" xfId="490" xr:uid="{00000000-0005-0000-0000-0000FC010000}"/>
    <cellStyle name="Titre 3 3 2 2" xfId="656" xr:uid="{A6190859-D710-472A-ABA4-62786C9E9FA6}"/>
    <cellStyle name="Titre 3 3 3" xfId="655" xr:uid="{320730B3-3B49-481F-9AEF-759E572CBD8C}"/>
    <cellStyle name="Titre 3 4" xfId="491" xr:uid="{00000000-0005-0000-0000-0000FD010000}"/>
    <cellStyle name="Titre 3 4 2" xfId="657" xr:uid="{9D0A1303-ACC7-4CC9-A9E8-C046341401A8}"/>
    <cellStyle name="Titre 3 5" xfId="492" xr:uid="{00000000-0005-0000-0000-0000FE010000}"/>
    <cellStyle name="Titre 3 5 2" xfId="658" xr:uid="{A7107421-9167-4408-9937-8657F2DCAE4B}"/>
    <cellStyle name="Titre 3 6" xfId="493" xr:uid="{00000000-0005-0000-0000-0000FF010000}"/>
    <cellStyle name="Titre 4" xfId="5" builtinId="19" customBuiltin="1"/>
    <cellStyle name="Titre 4 2" xfId="494" xr:uid="{00000000-0005-0000-0000-000001020000}"/>
    <cellStyle name="Titre 4 2 2" xfId="495" xr:uid="{00000000-0005-0000-0000-000002020000}"/>
    <cellStyle name="Titre 4 3" xfId="496" xr:uid="{00000000-0005-0000-0000-000003020000}"/>
    <cellStyle name="Titre 4 3 2" xfId="497" xr:uid="{00000000-0005-0000-0000-000004020000}"/>
    <cellStyle name="Titre 4 4" xfId="498" xr:uid="{00000000-0005-0000-0000-000005020000}"/>
    <cellStyle name="Titre 4 5" xfId="499" xr:uid="{00000000-0005-0000-0000-000006020000}"/>
    <cellStyle name="Titre 4 6" xfId="500" xr:uid="{00000000-0005-0000-0000-000007020000}"/>
    <cellStyle name="Total" xfId="17" builtinId="25" customBuiltin="1"/>
    <cellStyle name="Total 2" xfId="501" xr:uid="{00000000-0005-0000-0000-000009020000}"/>
    <cellStyle name="Vérification" xfId="13" builtinId="23" customBuiltin="1"/>
    <cellStyle name="Vérification 2" xfId="502" xr:uid="{00000000-0005-0000-0000-00000B020000}"/>
    <cellStyle name="Vérification 2 2" xfId="503" xr:uid="{00000000-0005-0000-0000-00000C020000}"/>
    <cellStyle name="Vérification 2 3" xfId="626" xr:uid="{0C83861C-0B1C-44C8-8BB1-ACF00E3DBBA6}"/>
    <cellStyle name="Vérification 3" xfId="504" xr:uid="{00000000-0005-0000-0000-00000D020000}"/>
    <cellStyle name="Vérification 3 2" xfId="505" xr:uid="{00000000-0005-0000-0000-00000E020000}"/>
    <cellStyle name="Vérification 3 3" xfId="617" xr:uid="{FCD61C42-6EB4-452B-AB2C-297738124B64}"/>
    <cellStyle name="Vérification 4" xfId="506" xr:uid="{00000000-0005-0000-0000-00000F020000}"/>
    <cellStyle name="Vérification 4 2" xfId="610" xr:uid="{78638D70-92B2-4DD6-B133-BBC411F02D5F}"/>
    <cellStyle name="Vérification 5" xfId="507" xr:uid="{00000000-0005-0000-0000-000010020000}"/>
    <cellStyle name="Vérification 6" xfId="508" xr:uid="{00000000-0005-0000-0000-000011020000}"/>
  </cellStyles>
  <dxfs count="0"/>
  <tableStyles count="0" defaultTableStyle="TableStyleMedium9" defaultPivotStyle="PivotStyleLight16"/>
  <colors>
    <mruColors>
      <color rgb="FFED7D31"/>
      <color rgb="FFFFC000"/>
      <color rgb="FF00B050"/>
      <color rgb="FFBD9F7B"/>
      <color rgb="FFBFBFBF"/>
      <color rgb="FFC02288"/>
      <color rgb="FFDCE6F1"/>
      <color rgb="FFFF6D6D"/>
      <color rgb="FF479574"/>
      <color rgb="FFF8D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1266825</xdr:colOff>
          <xdr:row>12</xdr:row>
          <xdr:rowOff>133350</xdr:rowOff>
        </xdr:from>
        <xdr:to>
          <xdr:col>1</xdr:col>
          <xdr:colOff>4819650</xdr:colOff>
          <xdr:row>17</xdr:row>
          <xdr:rowOff>66675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3600" b="1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9</xdr:row>
          <xdr:rowOff>9525</xdr:rowOff>
        </xdr:from>
        <xdr:to>
          <xdr:col>1</xdr:col>
          <xdr:colOff>1019175</xdr:colOff>
          <xdr:row>9</xdr:row>
          <xdr:rowOff>190500</xdr:rowOff>
        </xdr:to>
        <xdr:sp macro="" textlink="">
          <xdr:nvSpPr>
            <xdr:cNvPr id="9222" name="CheckBoxDebug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69696" mc:Ignorable="a14" a14:legacySpreadsheetColorIndex="5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Debug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J18"/>
  <sheetViews>
    <sheetView tabSelected="1" zoomScaleNormal="100" workbookViewId="0">
      <selection activeCell="D25" sqref="D25"/>
    </sheetView>
  </sheetViews>
  <sheetFormatPr baseColWidth="10" defaultColWidth="11.42578125" defaultRowHeight="15"/>
  <cols>
    <col min="1" max="1" width="25.140625" bestFit="1" customWidth="1"/>
    <col min="2" max="2" width="91.5703125" style="1" bestFit="1" customWidth="1"/>
    <col min="3" max="3" width="9.42578125" bestFit="1" customWidth="1"/>
    <col min="4" max="4" width="28.7109375" bestFit="1" customWidth="1"/>
    <col min="5" max="5" width="8.7109375" style="8" customWidth="1"/>
  </cols>
  <sheetData>
    <row r="1" spans="1:10">
      <c r="A1" s="2"/>
      <c r="B1"/>
    </row>
    <row r="2" spans="1:10" ht="28.5">
      <c r="A2" s="7"/>
      <c r="B2" s="43" t="s">
        <v>67</v>
      </c>
      <c r="C2" s="35" t="s">
        <v>67</v>
      </c>
    </row>
    <row r="3" spans="1:10">
      <c r="A3" s="13"/>
      <c r="B3" s="14"/>
    </row>
    <row r="4" spans="1:10">
      <c r="A4" s="13"/>
      <c r="B4" s="18"/>
    </row>
    <row r="5" spans="1:10" s="5" customFormat="1" ht="18.75">
      <c r="A5" s="12" t="s">
        <v>11</v>
      </c>
      <c r="B5" s="17" t="str">
        <f>$C$2&amp;"_{base}_{hier}_{name}"</f>
        <v>Vacheron_{base}_{hier}_{name}</v>
      </c>
      <c r="E5" s="44"/>
      <c r="F5"/>
      <c r="G5"/>
      <c r="H5"/>
      <c r="I5"/>
      <c r="J5"/>
    </row>
    <row r="6" spans="1:10">
      <c r="A6" s="3" t="s">
        <v>8</v>
      </c>
      <c r="B6" s="16" t="str">
        <f>"B_"&amp;$C$2&amp;"_{base}"</f>
        <v>B_Vacheron_{base}</v>
      </c>
    </row>
    <row r="7" spans="1:10">
      <c r="A7" s="3" t="s">
        <v>4</v>
      </c>
      <c r="B7" s="16" t="str">
        <f>"matrices\M_"&amp;$C$2&amp;"_{base}_{hier}"</f>
        <v>matrices\M_Vacheron_{base}_{hier}</v>
      </c>
    </row>
    <row r="8" spans="1:10">
      <c r="A8" s="3" t="s">
        <v>3</v>
      </c>
      <c r="B8" s="16" t="s">
        <v>12</v>
      </c>
    </row>
    <row r="9" spans="1:10">
      <c r="H9" s="19"/>
      <c r="I9" s="19"/>
    </row>
    <row r="10" spans="1:10" ht="15.95" customHeight="1">
      <c r="A10" s="3"/>
      <c r="B10" s="4"/>
      <c r="H10" s="19"/>
      <c r="I10" s="19"/>
    </row>
    <row r="11" spans="1:10" s="5" customFormat="1" ht="18.75">
      <c r="B11" s="6"/>
      <c r="D11"/>
      <c r="E11" s="8"/>
      <c r="F11"/>
      <c r="G11"/>
      <c r="H11" s="19"/>
      <c r="I11" s="19"/>
      <c r="J11"/>
    </row>
    <row r="12" spans="1:10" ht="15" customHeight="1">
      <c r="B12"/>
      <c r="E12" s="45" t="s">
        <v>1</v>
      </c>
      <c r="H12" s="19"/>
      <c r="I12" s="19"/>
    </row>
    <row r="13" spans="1:10">
      <c r="B13"/>
      <c r="D13" s="9" t="s">
        <v>0</v>
      </c>
      <c r="E13" s="10">
        <f>SUM(E14:E18)</f>
        <v>1.273148154723458E-4</v>
      </c>
      <c r="H13" s="19"/>
      <c r="I13" s="19"/>
    </row>
    <row r="14" spans="1:10">
      <c r="B14"/>
      <c r="D14" t="s">
        <v>2</v>
      </c>
      <c r="E14" s="8">
        <v>0</v>
      </c>
      <c r="H14" s="19"/>
      <c r="I14" s="19"/>
    </row>
    <row r="15" spans="1:10">
      <c r="B15"/>
      <c r="D15" s="11" t="s">
        <v>10</v>
      </c>
      <c r="E15" s="8">
        <v>0</v>
      </c>
      <c r="H15" s="19"/>
      <c r="I15" s="19"/>
    </row>
    <row r="16" spans="1:10">
      <c r="B16"/>
      <c r="D16" t="s">
        <v>808</v>
      </c>
      <c r="E16" s="8">
        <v>9.2592592409346253E-5</v>
      </c>
      <c r="H16" s="19"/>
      <c r="I16" s="19"/>
    </row>
    <row r="17" spans="2:9">
      <c r="B17"/>
      <c r="D17" t="s">
        <v>810</v>
      </c>
      <c r="E17" s="8">
        <v>3.4722223062999547E-5</v>
      </c>
      <c r="H17" s="19"/>
      <c r="I17" s="19"/>
    </row>
    <row r="18" spans="2:9">
      <c r="B18"/>
      <c r="D18" t="s">
        <v>809</v>
      </c>
      <c r="E18" s="8">
        <v>0</v>
      </c>
      <c r="H18" s="19"/>
      <c r="I18" s="19"/>
    </row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mainF">
                <anchor moveWithCells="1" sizeWithCells="1">
                  <from>
                    <xdr:col>1</xdr:col>
                    <xdr:colOff>1266825</xdr:colOff>
                    <xdr:row>12</xdr:row>
                    <xdr:rowOff>133350</xdr:rowOff>
                  </from>
                  <to>
                    <xdr:col>1</xdr:col>
                    <xdr:colOff>4819650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CheckBoxDebug">
              <controlPr defaultSize="0" autoFill="0" autoLine="0" autoPict="0">
                <anchor moveWithCells="1" sizeWithCells="1">
                  <from>
                    <xdr:col>1</xdr:col>
                    <xdr:colOff>9525</xdr:colOff>
                    <xdr:row>9</xdr:row>
                    <xdr:rowOff>9525</xdr:rowOff>
                  </from>
                  <to>
                    <xdr:col>1</xdr:col>
                    <xdr:colOff>1019175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BBA23-3C49-4636-B73D-4D0AE5F91131}">
  <sheetPr codeName="Feuil2"/>
  <dimension ref="A1:U13"/>
  <sheetViews>
    <sheetView workbookViewId="0">
      <selection activeCell="H9" sqref="H9"/>
    </sheetView>
  </sheetViews>
  <sheetFormatPr baseColWidth="10" defaultRowHeight="15"/>
  <cols>
    <col min="4" max="4" width="11.42578125" style="19"/>
    <col min="8" max="8" width="11.42578125" style="19"/>
    <col min="12" max="12" width="11.42578125" style="19"/>
    <col min="16" max="16" width="11.42578125" style="19"/>
  </cols>
  <sheetData>
    <row r="1" spans="1:21" s="19" customFormat="1" ht="15.75" thickBot="1">
      <c r="A1" s="29" t="s">
        <v>41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Q1" s="18"/>
      <c r="R1" s="28"/>
      <c r="S1" s="34"/>
      <c r="T1" s="34"/>
      <c r="U1" s="35" t="s">
        <v>14</v>
      </c>
    </row>
    <row r="2" spans="1:21" s="19" customFormat="1" ht="15.75" thickBot="1">
      <c r="A2" s="27" t="s">
        <v>51</v>
      </c>
      <c r="B2" s="26" t="s">
        <v>36</v>
      </c>
      <c r="C2" s="25" t="s">
        <v>37</v>
      </c>
      <c r="D2" s="24" t="s">
        <v>38</v>
      </c>
      <c r="E2" s="23" t="s">
        <v>38</v>
      </c>
      <c r="F2" s="26">
        <v>1</v>
      </c>
      <c r="G2" s="25" t="s">
        <v>39</v>
      </c>
      <c r="H2" s="22">
        <v>0</v>
      </c>
      <c r="I2" s="37" t="s">
        <v>56</v>
      </c>
      <c r="J2" s="26">
        <v>2</v>
      </c>
      <c r="K2" s="25" t="s">
        <v>37</v>
      </c>
      <c r="L2" s="22">
        <v>0</v>
      </c>
      <c r="M2" s="49" t="s">
        <v>54</v>
      </c>
      <c r="N2" s="26">
        <v>3</v>
      </c>
      <c r="O2" s="25" t="s">
        <v>52</v>
      </c>
      <c r="P2" s="22">
        <v>0</v>
      </c>
      <c r="Q2" s="48" t="s">
        <v>55</v>
      </c>
      <c r="R2" s="26"/>
      <c r="S2" s="25"/>
      <c r="T2" s="22"/>
      <c r="U2" s="48"/>
    </row>
    <row r="3" spans="1:21" s="19" customFormat="1" ht="15.75" thickBot="1">
      <c r="A3" s="33" t="s">
        <v>59</v>
      </c>
      <c r="B3" s="26" t="s">
        <v>36</v>
      </c>
      <c r="C3" s="25" t="s">
        <v>37</v>
      </c>
      <c r="D3" s="24" t="s">
        <v>38</v>
      </c>
      <c r="E3" s="23" t="s">
        <v>38</v>
      </c>
      <c r="F3" s="26">
        <v>1</v>
      </c>
      <c r="G3" s="25" t="s">
        <v>37</v>
      </c>
      <c r="H3" s="22">
        <v>1</v>
      </c>
      <c r="I3" s="41" t="s">
        <v>42</v>
      </c>
      <c r="J3" s="26">
        <v>2</v>
      </c>
      <c r="K3" s="25" t="s">
        <v>37</v>
      </c>
      <c r="L3" s="22">
        <v>0</v>
      </c>
      <c r="M3" s="42" t="s">
        <v>42</v>
      </c>
      <c r="N3" s="26"/>
      <c r="O3" s="25"/>
      <c r="P3" s="22"/>
      <c r="Q3" s="30"/>
      <c r="R3" s="26"/>
      <c r="S3" s="25"/>
      <c r="T3" s="22"/>
      <c r="U3" s="30"/>
    </row>
    <row r="4" spans="1:21" ht="15.75" thickBot="1">
      <c r="A4" s="27" t="s">
        <v>40</v>
      </c>
      <c r="B4" s="26" t="s">
        <v>36</v>
      </c>
      <c r="C4" s="25" t="s">
        <v>37</v>
      </c>
      <c r="D4" s="24" t="s">
        <v>38</v>
      </c>
      <c r="E4" s="40" t="s">
        <v>38</v>
      </c>
      <c r="F4" s="26">
        <v>1</v>
      </c>
      <c r="G4" s="25" t="s">
        <v>37</v>
      </c>
      <c r="H4" s="22">
        <v>100</v>
      </c>
      <c r="I4" s="39" t="s">
        <v>58</v>
      </c>
      <c r="J4" s="26">
        <v>2</v>
      </c>
      <c r="K4" s="25" t="s">
        <v>37</v>
      </c>
      <c r="L4" s="22">
        <v>0</v>
      </c>
      <c r="M4" s="38" t="s">
        <v>57</v>
      </c>
      <c r="N4" s="26"/>
      <c r="O4" s="25"/>
      <c r="P4" s="22"/>
      <c r="Q4" s="38"/>
      <c r="R4" s="26"/>
      <c r="S4" s="25"/>
      <c r="T4" s="22"/>
      <c r="U4" s="38"/>
    </row>
    <row r="5" spans="1:21" s="34" customFormat="1" ht="15.75" thickBot="1">
      <c r="A5" s="27" t="s">
        <v>109</v>
      </c>
      <c r="B5" s="26" t="s">
        <v>36</v>
      </c>
      <c r="C5" s="25" t="s">
        <v>37</v>
      </c>
      <c r="D5" s="24" t="s">
        <v>38</v>
      </c>
      <c r="E5" s="23" t="s">
        <v>38</v>
      </c>
      <c r="F5" s="26">
        <v>1</v>
      </c>
      <c r="G5" s="25" t="s">
        <v>110</v>
      </c>
      <c r="H5" s="22">
        <v>80</v>
      </c>
      <c r="I5" s="53" t="s">
        <v>14</v>
      </c>
      <c r="J5" s="26">
        <v>2</v>
      </c>
      <c r="K5" s="25" t="s">
        <v>110</v>
      </c>
      <c r="L5" s="22">
        <v>70</v>
      </c>
      <c r="M5" s="23" t="s">
        <v>14</v>
      </c>
      <c r="N5" s="26">
        <v>3</v>
      </c>
      <c r="O5" s="25" t="s">
        <v>110</v>
      </c>
      <c r="P5" s="22">
        <v>50</v>
      </c>
      <c r="Q5" s="54" t="s">
        <v>14</v>
      </c>
      <c r="R5" s="26">
        <v>4</v>
      </c>
      <c r="S5" s="25" t="s">
        <v>110</v>
      </c>
      <c r="T5" s="22">
        <v>0</v>
      </c>
      <c r="U5" s="55" t="s">
        <v>14</v>
      </c>
    </row>
    <row r="8" spans="1:21">
      <c r="M8" s="34"/>
      <c r="N8" s="34"/>
      <c r="O8" s="34"/>
      <c r="P8" s="34"/>
    </row>
    <row r="9" spans="1:21">
      <c r="M9" s="34"/>
      <c r="N9" s="34"/>
      <c r="O9" s="34"/>
      <c r="P9" s="34"/>
    </row>
    <row r="10" spans="1:21">
      <c r="M10" s="34"/>
      <c r="N10" s="34"/>
      <c r="O10" s="34"/>
      <c r="P10" s="34"/>
    </row>
    <row r="11" spans="1:21">
      <c r="M11" s="34"/>
      <c r="N11" s="34"/>
      <c r="O11" s="34"/>
      <c r="P11" s="34"/>
    </row>
    <row r="12" spans="1:21">
      <c r="M12" s="34"/>
      <c r="N12" s="34"/>
      <c r="O12" s="34"/>
      <c r="P12" s="34"/>
    </row>
    <row r="13" spans="1:21">
      <c r="M13" s="34"/>
      <c r="N13" s="34"/>
      <c r="O13" s="34"/>
      <c r="P13" s="34"/>
    </row>
  </sheetData>
  <dataValidations count="1">
    <dataValidation type="list" allowBlank="1" showInputMessage="1" showErrorMessage="1" sqref="K2:K5 C2:C5 G2:G5 O2:O5 S2:S5" xr:uid="{2591C2A9-660A-4FD6-86C7-C4CC5E040EFF}">
      <formula1>"&lt;&gt;,=,&lt;,&lt;=,&gt;,&gt;="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CC894-CB7D-4C9D-A1CE-0553260C7452}">
  <sheetPr codeName="Feuil8">
    <tabColor theme="1" tint="0.499984740745262"/>
  </sheetPr>
  <dimension ref="A1:BC12"/>
  <sheetViews>
    <sheetView workbookViewId="0">
      <selection activeCell="AT19" sqref="AT19"/>
    </sheetView>
  </sheetViews>
  <sheetFormatPr baseColWidth="10" defaultColWidth="11.42578125" defaultRowHeight="15"/>
  <cols>
    <col min="1" max="1" width="32.85546875" style="19" bestFit="1" customWidth="1"/>
    <col min="2" max="2" width="11.42578125" style="50"/>
    <col min="3" max="6" width="11.42578125" style="51"/>
    <col min="7" max="7" width="11.42578125" style="52"/>
    <col min="8" max="8" width="11.42578125" style="50"/>
    <col min="9" max="12" width="11.42578125" style="51"/>
    <col min="13" max="13" width="11.42578125" style="52"/>
    <col min="14" max="14" width="11.42578125" style="50"/>
    <col min="15" max="18" width="11.42578125" style="51"/>
    <col min="19" max="19" width="11.42578125" style="52"/>
    <col min="20" max="20" width="11.42578125" style="50"/>
    <col min="21" max="24" width="11.42578125" style="51"/>
    <col min="25" max="25" width="11.42578125" style="52"/>
    <col min="26" max="26" width="11.42578125" style="34"/>
    <col min="27" max="16384" width="11.42578125" style="19"/>
  </cols>
  <sheetData>
    <row r="1" spans="1:55">
      <c r="A1" s="60" t="s">
        <v>28</v>
      </c>
      <c r="B1" s="61" t="s">
        <v>126</v>
      </c>
      <c r="C1" s="62" t="s">
        <v>127</v>
      </c>
      <c r="D1" s="62" t="s">
        <v>128</v>
      </c>
      <c r="E1" s="62" t="s">
        <v>129</v>
      </c>
      <c r="F1" s="62" t="s">
        <v>130</v>
      </c>
      <c r="G1" s="63" t="s">
        <v>131</v>
      </c>
      <c r="H1" s="61" t="s">
        <v>387</v>
      </c>
      <c r="I1" s="62" t="s">
        <v>388</v>
      </c>
      <c r="J1" s="62" t="s">
        <v>389</v>
      </c>
      <c r="K1" s="62" t="s">
        <v>390</v>
      </c>
      <c r="L1" s="62" t="s">
        <v>391</v>
      </c>
      <c r="M1" s="63" t="s">
        <v>392</v>
      </c>
      <c r="N1" s="61" t="s">
        <v>393</v>
      </c>
      <c r="O1" s="62" t="s">
        <v>394</v>
      </c>
      <c r="P1" s="62" t="s">
        <v>395</v>
      </c>
      <c r="Q1" s="62" t="s">
        <v>396</v>
      </c>
      <c r="R1" s="62" t="s">
        <v>397</v>
      </c>
      <c r="S1" s="63" t="s">
        <v>398</v>
      </c>
      <c r="T1" s="61" t="s">
        <v>399</v>
      </c>
      <c r="U1" s="62" t="s">
        <v>400</v>
      </c>
      <c r="V1" s="62" t="s">
        <v>401</v>
      </c>
      <c r="W1" s="62" t="s">
        <v>402</v>
      </c>
      <c r="X1" s="62" t="s">
        <v>403</v>
      </c>
      <c r="Y1" s="63" t="s">
        <v>404</v>
      </c>
      <c r="Z1" s="64" t="s">
        <v>405</v>
      </c>
      <c r="AA1" s="65" t="s">
        <v>406</v>
      </c>
      <c r="AB1" s="65" t="s">
        <v>407</v>
      </c>
      <c r="AC1" s="65" t="s">
        <v>408</v>
      </c>
      <c r="AD1" s="65" t="s">
        <v>409</v>
      </c>
      <c r="AE1" s="66" t="s">
        <v>410</v>
      </c>
      <c r="AF1" s="64" t="s">
        <v>411</v>
      </c>
      <c r="AG1" s="65" t="s">
        <v>412</v>
      </c>
      <c r="AH1" s="65" t="s">
        <v>413</v>
      </c>
      <c r="AI1" s="65" t="s">
        <v>414</v>
      </c>
      <c r="AJ1" s="65" t="s">
        <v>415</v>
      </c>
      <c r="AK1" s="66" t="s">
        <v>416</v>
      </c>
      <c r="AL1" s="64" t="s">
        <v>417</v>
      </c>
      <c r="AM1" s="65" t="s">
        <v>418</v>
      </c>
      <c r="AN1" s="65" t="s">
        <v>419</v>
      </c>
      <c r="AO1" s="65" t="s">
        <v>420</v>
      </c>
      <c r="AP1" s="65" t="s">
        <v>421</v>
      </c>
      <c r="AQ1" s="66" t="s">
        <v>422</v>
      </c>
      <c r="AR1" s="64" t="s">
        <v>423</v>
      </c>
      <c r="AS1" s="65" t="s">
        <v>424</v>
      </c>
      <c r="AT1" s="65" t="s">
        <v>425</v>
      </c>
      <c r="AU1" s="65" t="s">
        <v>426</v>
      </c>
      <c r="AV1" s="65" t="s">
        <v>427</v>
      </c>
      <c r="AW1" s="66" t="s">
        <v>428</v>
      </c>
      <c r="AX1" s="67" t="s">
        <v>429</v>
      </c>
      <c r="AY1" s="68" t="s">
        <v>430</v>
      </c>
      <c r="AZ1" s="68" t="s">
        <v>431</v>
      </c>
      <c r="BA1" s="68" t="s">
        <v>432</v>
      </c>
      <c r="BB1" s="68" t="s">
        <v>433</v>
      </c>
      <c r="BC1" s="69" t="s">
        <v>434</v>
      </c>
    </row>
    <row r="2" spans="1:55">
      <c r="A2" s="70" t="s">
        <v>117</v>
      </c>
      <c r="B2" s="71">
        <v>85.30439121756487</v>
      </c>
      <c r="C2" s="72">
        <v>76.396276595744681</v>
      </c>
      <c r="D2" s="72">
        <v>59.504132231404959</v>
      </c>
      <c r="E2" s="72">
        <v>87.962962962962962</v>
      </c>
      <c r="F2" s="72"/>
      <c r="G2" s="73"/>
      <c r="H2" s="71">
        <v>91.280653950953678</v>
      </c>
      <c r="I2" s="72">
        <v>87.385321100917437</v>
      </c>
      <c r="J2" s="72">
        <v>65.432098765432102</v>
      </c>
      <c r="K2" s="72">
        <v>87.962962962962962</v>
      </c>
      <c r="L2" s="72"/>
      <c r="M2" s="73"/>
      <c r="N2" s="71">
        <v>87.368972746331238</v>
      </c>
      <c r="O2" s="72">
        <v>72.69736842105263</v>
      </c>
      <c r="P2" s="72">
        <v>47.5</v>
      </c>
      <c r="Q2" s="74"/>
      <c r="R2" s="72"/>
      <c r="S2" s="73"/>
      <c r="T2" s="71">
        <v>65.189873417721515</v>
      </c>
      <c r="U2" s="72">
        <v>70.869565217391298</v>
      </c>
      <c r="V2" s="72"/>
      <c r="W2" s="74"/>
      <c r="X2" s="74"/>
      <c r="Y2" s="75"/>
      <c r="Z2" s="76">
        <v>0</v>
      </c>
      <c r="AA2" s="77">
        <v>0</v>
      </c>
      <c r="AB2" s="78"/>
      <c r="AC2" s="78"/>
      <c r="AD2" s="78"/>
      <c r="AE2" s="79"/>
      <c r="AF2" s="76">
        <v>0</v>
      </c>
      <c r="AG2" s="77">
        <v>0</v>
      </c>
      <c r="AH2" s="78"/>
      <c r="AI2" s="78"/>
      <c r="AJ2" s="78"/>
      <c r="AK2" s="79"/>
      <c r="AL2" s="80"/>
      <c r="AM2" s="78"/>
      <c r="AN2" s="78"/>
      <c r="AO2" s="78"/>
      <c r="AP2" s="78"/>
      <c r="AQ2" s="79"/>
      <c r="AR2" s="80"/>
      <c r="AS2" s="78"/>
      <c r="AT2" s="78"/>
      <c r="AU2" s="78"/>
      <c r="AV2" s="78"/>
      <c r="AW2" s="79"/>
      <c r="AX2" s="81"/>
      <c r="AY2" s="82">
        <v>49.056603773584904</v>
      </c>
      <c r="AZ2" s="83"/>
      <c r="BA2" s="82">
        <v>56.71641791044776</v>
      </c>
      <c r="BB2" s="83"/>
      <c r="BC2" s="84"/>
    </row>
    <row r="3" spans="1:55">
      <c r="A3" s="85" t="s">
        <v>114</v>
      </c>
      <c r="B3" s="71">
        <v>72.48751560549313</v>
      </c>
      <c r="C3" s="72">
        <v>76.934306569343065</v>
      </c>
      <c r="D3" s="72">
        <v>75.980392156862749</v>
      </c>
      <c r="E3" s="72">
        <v>85.714285714285708</v>
      </c>
      <c r="F3" s="72"/>
      <c r="G3" s="73"/>
      <c r="H3" s="71">
        <v>81.88356164383562</v>
      </c>
      <c r="I3" s="72">
        <v>86.940298507462686</v>
      </c>
      <c r="J3" s="72">
        <v>75.980392156862749</v>
      </c>
      <c r="K3" s="72">
        <v>85.714285714285708</v>
      </c>
      <c r="L3" s="72"/>
      <c r="M3" s="73"/>
      <c r="N3" s="71">
        <v>68.055555555555557</v>
      </c>
      <c r="O3" s="72">
        <v>77.643171806167402</v>
      </c>
      <c r="P3" s="74"/>
      <c r="Q3" s="74"/>
      <c r="R3" s="72"/>
      <c r="S3" s="73"/>
      <c r="T3" s="71">
        <v>48.355263157894733</v>
      </c>
      <c r="U3" s="72">
        <v>61.973684210526315</v>
      </c>
      <c r="V3" s="72"/>
      <c r="W3" s="74"/>
      <c r="X3" s="74"/>
      <c r="Y3" s="75"/>
      <c r="Z3" s="76">
        <v>77.982954545454547</v>
      </c>
      <c r="AA3" s="77">
        <v>80.357142857142861</v>
      </c>
      <c r="AB3" s="78"/>
      <c r="AC3" s="78"/>
      <c r="AD3" s="78"/>
      <c r="AE3" s="79"/>
      <c r="AF3" s="76">
        <v>77.982954545454547</v>
      </c>
      <c r="AG3" s="77">
        <v>80.357142857142861</v>
      </c>
      <c r="AH3" s="78"/>
      <c r="AI3" s="78"/>
      <c r="AJ3" s="78"/>
      <c r="AK3" s="79"/>
      <c r="AL3" s="80"/>
      <c r="AM3" s="78"/>
      <c r="AN3" s="78"/>
      <c r="AO3" s="78"/>
      <c r="AP3" s="78"/>
      <c r="AQ3" s="79"/>
      <c r="AR3" s="80"/>
      <c r="AS3" s="78"/>
      <c r="AT3" s="78"/>
      <c r="AU3" s="78"/>
      <c r="AV3" s="78"/>
      <c r="AW3" s="79"/>
      <c r="AX3" s="86">
        <v>61.36363636363636</v>
      </c>
      <c r="AY3" s="82">
        <v>55.952380952380949</v>
      </c>
      <c r="AZ3" s="83"/>
      <c r="BA3" s="82">
        <v>74.324324324324323</v>
      </c>
      <c r="BB3" s="83"/>
      <c r="BC3" s="84"/>
    </row>
    <row r="4" spans="1:55">
      <c r="A4" s="85" t="s">
        <v>116</v>
      </c>
      <c r="B4" s="71">
        <v>72.244897959183675</v>
      </c>
      <c r="C4" s="72">
        <v>60.487444608567209</v>
      </c>
      <c r="D4" s="72">
        <v>65.151515151515156</v>
      </c>
      <c r="E4" s="72">
        <v>86.614173228346459</v>
      </c>
      <c r="F4" s="72"/>
      <c r="G4" s="73"/>
      <c r="H4" s="71">
        <v>78.140703517587937</v>
      </c>
      <c r="I4" s="72">
        <v>56.105990783410135</v>
      </c>
      <c r="J4" s="72">
        <v>65.151515151515156</v>
      </c>
      <c r="K4" s="72">
        <v>86.614173228346459</v>
      </c>
      <c r="L4" s="72"/>
      <c r="M4" s="73"/>
      <c r="N4" s="71">
        <v>71.294910179640723</v>
      </c>
      <c r="O4" s="72">
        <v>59.555555555555557</v>
      </c>
      <c r="P4" s="74"/>
      <c r="Q4" s="74"/>
      <c r="R4" s="72"/>
      <c r="S4" s="73"/>
      <c r="T4" s="71">
        <v>58.170731707317074</v>
      </c>
      <c r="U4" s="72">
        <v>65.425531914893611</v>
      </c>
      <c r="V4" s="72"/>
      <c r="W4" s="74"/>
      <c r="X4" s="74"/>
      <c r="Y4" s="75"/>
      <c r="Z4" s="76">
        <v>53.996763754045304</v>
      </c>
      <c r="AA4" s="77">
        <v>58.456790123456791</v>
      </c>
      <c r="AB4" s="78"/>
      <c r="AC4" s="78"/>
      <c r="AD4" s="78"/>
      <c r="AE4" s="79"/>
      <c r="AF4" s="76">
        <v>53.996763754045304</v>
      </c>
      <c r="AG4" s="77">
        <v>58.456790123456791</v>
      </c>
      <c r="AH4" s="78"/>
      <c r="AI4" s="78"/>
      <c r="AJ4" s="78"/>
      <c r="AK4" s="79"/>
      <c r="AL4" s="80"/>
      <c r="AM4" s="78"/>
      <c r="AN4" s="78"/>
      <c r="AO4" s="78"/>
      <c r="AP4" s="78"/>
      <c r="AQ4" s="79"/>
      <c r="AR4" s="80"/>
      <c r="AS4" s="78"/>
      <c r="AT4" s="78"/>
      <c r="AU4" s="78"/>
      <c r="AV4" s="78"/>
      <c r="AW4" s="79"/>
      <c r="AX4" s="86">
        <v>68.103448275862064</v>
      </c>
      <c r="AY4" s="82">
        <v>78.222222222222229</v>
      </c>
      <c r="AZ4" s="83"/>
      <c r="BA4" s="82">
        <v>68.468468468468473</v>
      </c>
      <c r="BB4" s="83"/>
      <c r="BC4" s="84"/>
    </row>
    <row r="5" spans="1:55">
      <c r="A5" s="85" t="s">
        <v>112</v>
      </c>
      <c r="B5" s="71">
        <v>70.909270998415209</v>
      </c>
      <c r="C5" s="72">
        <v>67.847364818617379</v>
      </c>
      <c r="D5" s="72">
        <v>77.696078431372555</v>
      </c>
      <c r="E5" s="72">
        <v>83.864541832669318</v>
      </c>
      <c r="F5" s="72"/>
      <c r="G5" s="73"/>
      <c r="H5" s="71">
        <v>77.704791344667697</v>
      </c>
      <c r="I5" s="72">
        <v>79.920212765957444</v>
      </c>
      <c r="J5" s="72">
        <v>77.696078431372555</v>
      </c>
      <c r="K5" s="72">
        <v>83.864541832669318</v>
      </c>
      <c r="L5" s="72"/>
      <c r="M5" s="73"/>
      <c r="N5" s="71">
        <v>69.324712643678154</v>
      </c>
      <c r="O5" s="72">
        <v>74.891774891774887</v>
      </c>
      <c r="P5" s="74"/>
      <c r="Q5" s="74"/>
      <c r="R5" s="72"/>
      <c r="S5" s="73"/>
      <c r="T5" s="71">
        <v>67.617046818727488</v>
      </c>
      <c r="U5" s="72">
        <v>61.035758323057955</v>
      </c>
      <c r="V5" s="72"/>
      <c r="W5" s="74"/>
      <c r="X5" s="74"/>
      <c r="Y5" s="75"/>
      <c r="Z5" s="76">
        <v>53.031914893617021</v>
      </c>
      <c r="AA5" s="77">
        <v>29.675324675324674</v>
      </c>
      <c r="AB5" s="78"/>
      <c r="AC5" s="78"/>
      <c r="AD5" s="78"/>
      <c r="AE5" s="79"/>
      <c r="AF5" s="76">
        <v>53.031914893617021</v>
      </c>
      <c r="AG5" s="77">
        <v>29.675324675324674</v>
      </c>
      <c r="AH5" s="78"/>
      <c r="AI5" s="78"/>
      <c r="AJ5" s="78"/>
      <c r="AK5" s="79"/>
      <c r="AL5" s="80"/>
      <c r="AM5" s="78"/>
      <c r="AN5" s="78"/>
      <c r="AO5" s="78"/>
      <c r="AP5" s="78"/>
      <c r="AQ5" s="79"/>
      <c r="AR5" s="80"/>
      <c r="AS5" s="78"/>
      <c r="AT5" s="78"/>
      <c r="AU5" s="78"/>
      <c r="AV5" s="78"/>
      <c r="AW5" s="79"/>
      <c r="AX5" s="86">
        <v>59.913793103448278</v>
      </c>
      <c r="AY5" s="82">
        <v>70.089285714285708</v>
      </c>
      <c r="AZ5" s="83"/>
      <c r="BA5" s="82">
        <v>70.796460176991147</v>
      </c>
      <c r="BB5" s="83"/>
      <c r="BC5" s="84"/>
    </row>
    <row r="6" spans="1:55">
      <c r="A6" s="70" t="s">
        <v>111</v>
      </c>
      <c r="B6" s="71">
        <v>67.762487257900105</v>
      </c>
      <c r="C6" s="72">
        <v>62.99212598425197</v>
      </c>
      <c r="D6" s="72">
        <v>70.539419087136935</v>
      </c>
      <c r="E6" s="72">
        <v>67.714285714285708</v>
      </c>
      <c r="F6" s="72"/>
      <c r="G6" s="73"/>
      <c r="H6" s="71">
        <v>67.863036303630366</v>
      </c>
      <c r="I6" s="72">
        <v>71.585903083700444</v>
      </c>
      <c r="J6" s="72">
        <v>70.539419087136935</v>
      </c>
      <c r="K6" s="72">
        <v>67.714285714285708</v>
      </c>
      <c r="L6" s="72"/>
      <c r="M6" s="73"/>
      <c r="N6" s="71">
        <v>77.134146341463421</v>
      </c>
      <c r="O6" s="72">
        <v>41.780821917808218</v>
      </c>
      <c r="P6" s="74"/>
      <c r="Q6" s="74"/>
      <c r="R6" s="72"/>
      <c r="S6" s="73"/>
      <c r="T6" s="71">
        <v>49.418604651162788</v>
      </c>
      <c r="U6" s="72">
        <v>58.02469135802469</v>
      </c>
      <c r="V6" s="72"/>
      <c r="W6" s="74"/>
      <c r="X6" s="74"/>
      <c r="Y6" s="75"/>
      <c r="Z6" s="76">
        <v>55.297619047619044</v>
      </c>
      <c r="AA6" s="77">
        <v>50.943396226415096</v>
      </c>
      <c r="AB6" s="78"/>
      <c r="AC6" s="78"/>
      <c r="AD6" s="78"/>
      <c r="AE6" s="79"/>
      <c r="AF6" s="76">
        <v>55.297619047619044</v>
      </c>
      <c r="AG6" s="77">
        <v>50.943396226415096</v>
      </c>
      <c r="AH6" s="78"/>
      <c r="AI6" s="78"/>
      <c r="AJ6" s="78"/>
      <c r="AK6" s="79"/>
      <c r="AL6" s="80"/>
      <c r="AM6" s="78"/>
      <c r="AN6" s="78"/>
      <c r="AO6" s="78"/>
      <c r="AP6" s="78"/>
      <c r="AQ6" s="79"/>
      <c r="AR6" s="80"/>
      <c r="AS6" s="78"/>
      <c r="AT6" s="78"/>
      <c r="AU6" s="78"/>
      <c r="AV6" s="78"/>
      <c r="AW6" s="79"/>
      <c r="AX6" s="86">
        <v>47.297297297297298</v>
      </c>
      <c r="AY6" s="82">
        <v>57.882882882882882</v>
      </c>
      <c r="AZ6" s="83"/>
      <c r="BA6" s="82">
        <v>60.476190476190474</v>
      </c>
      <c r="BB6" s="83"/>
      <c r="BC6" s="84"/>
    </row>
    <row r="7" spans="1:55">
      <c r="A7"/>
    </row>
    <row r="8" spans="1:55">
      <c r="A8"/>
    </row>
    <row r="9" spans="1:55">
      <c r="A9"/>
    </row>
    <row r="10" spans="1:55">
      <c r="A10"/>
    </row>
    <row r="11" spans="1:55">
      <c r="A11"/>
    </row>
    <row r="12" spans="1:55">
      <c r="A12"/>
    </row>
  </sheetData>
  <sortState xmlns:xlrd2="http://schemas.microsoft.com/office/spreadsheetml/2017/richdata2" ref="A2:A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2C0D1-DEF6-4383-B13A-4ADC9C68012F}">
  <sheetPr codeName="Feuil4">
    <tabColor theme="1" tint="0.499984740745262"/>
  </sheetPr>
  <dimension ref="A1:BC38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7" sqref="C7"/>
    </sheetView>
  </sheetViews>
  <sheetFormatPr baseColWidth="10" defaultColWidth="10.85546875" defaultRowHeight="15"/>
  <cols>
    <col min="1" max="1" width="11.85546875" style="105" bestFit="1" customWidth="1"/>
    <col min="2" max="16384" width="10.85546875" style="105"/>
  </cols>
  <sheetData>
    <row r="1" spans="1:55" s="89" customFormat="1">
      <c r="A1" s="87" t="s">
        <v>28</v>
      </c>
      <c r="B1" s="88" t="s">
        <v>126</v>
      </c>
      <c r="C1" s="62" t="s">
        <v>127</v>
      </c>
      <c r="D1" s="62" t="s">
        <v>128</v>
      </c>
      <c r="E1" s="62" t="s">
        <v>129</v>
      </c>
      <c r="F1" s="62" t="s">
        <v>130</v>
      </c>
      <c r="G1" s="63" t="s">
        <v>131</v>
      </c>
      <c r="H1" s="61" t="s">
        <v>387</v>
      </c>
      <c r="I1" s="62" t="s">
        <v>388</v>
      </c>
      <c r="J1" s="62" t="s">
        <v>389</v>
      </c>
      <c r="K1" s="62" t="s">
        <v>390</v>
      </c>
      <c r="L1" s="62" t="s">
        <v>391</v>
      </c>
      <c r="M1" s="63" t="s">
        <v>392</v>
      </c>
      <c r="N1" s="61" t="s">
        <v>393</v>
      </c>
      <c r="O1" s="62" t="s">
        <v>394</v>
      </c>
      <c r="P1" s="62" t="s">
        <v>395</v>
      </c>
      <c r="Q1" s="62" t="s">
        <v>396</v>
      </c>
      <c r="R1" s="62" t="s">
        <v>397</v>
      </c>
      <c r="S1" s="63" t="s">
        <v>398</v>
      </c>
      <c r="T1" s="61" t="s">
        <v>399</v>
      </c>
      <c r="U1" s="62" t="s">
        <v>400</v>
      </c>
      <c r="V1" s="62" t="s">
        <v>401</v>
      </c>
      <c r="W1" s="62" t="s">
        <v>402</v>
      </c>
      <c r="X1" s="62" t="s">
        <v>403</v>
      </c>
      <c r="Y1" s="63" t="s">
        <v>404</v>
      </c>
      <c r="Z1" s="64" t="s">
        <v>405</v>
      </c>
      <c r="AA1" s="65" t="s">
        <v>406</v>
      </c>
      <c r="AB1" s="65" t="s">
        <v>407</v>
      </c>
      <c r="AC1" s="65" t="s">
        <v>408</v>
      </c>
      <c r="AD1" s="65" t="s">
        <v>409</v>
      </c>
      <c r="AE1" s="66" t="s">
        <v>410</v>
      </c>
      <c r="AF1" s="64" t="s">
        <v>411</v>
      </c>
      <c r="AG1" s="65" t="s">
        <v>412</v>
      </c>
      <c r="AH1" s="65" t="s">
        <v>413</v>
      </c>
      <c r="AI1" s="65" t="s">
        <v>414</v>
      </c>
      <c r="AJ1" s="65" t="s">
        <v>415</v>
      </c>
      <c r="AK1" s="66" t="s">
        <v>416</v>
      </c>
      <c r="AL1" s="64" t="s">
        <v>417</v>
      </c>
      <c r="AM1" s="65" t="s">
        <v>418</v>
      </c>
      <c r="AN1" s="65" t="s">
        <v>419</v>
      </c>
      <c r="AO1" s="65" t="s">
        <v>420</v>
      </c>
      <c r="AP1" s="65" t="s">
        <v>421</v>
      </c>
      <c r="AQ1" s="66" t="s">
        <v>422</v>
      </c>
      <c r="AR1" s="64" t="s">
        <v>423</v>
      </c>
      <c r="AS1" s="65" t="s">
        <v>424</v>
      </c>
      <c r="AT1" s="65" t="s">
        <v>425</v>
      </c>
      <c r="AU1" s="65" t="s">
        <v>426</v>
      </c>
      <c r="AV1" s="65" t="s">
        <v>427</v>
      </c>
      <c r="AW1" s="66" t="s">
        <v>428</v>
      </c>
      <c r="AX1" s="67" t="s">
        <v>429</v>
      </c>
      <c r="AY1" s="68" t="s">
        <v>430</v>
      </c>
      <c r="AZ1" s="68" t="s">
        <v>431</v>
      </c>
      <c r="BA1" s="68" t="s">
        <v>432</v>
      </c>
      <c r="BB1" s="68" t="s">
        <v>433</v>
      </c>
      <c r="BC1" s="69" t="s">
        <v>434</v>
      </c>
    </row>
    <row r="2" spans="1:55">
      <c r="A2" s="90" t="s">
        <v>125</v>
      </c>
      <c r="B2" s="91">
        <v>92.479674796747972</v>
      </c>
      <c r="C2" s="92">
        <v>92.434210526315795</v>
      </c>
      <c r="D2" s="92">
        <v>65.432098765432102</v>
      </c>
      <c r="E2" s="92">
        <v>87.962962962962962</v>
      </c>
      <c r="F2" s="92"/>
      <c r="G2" s="93"/>
      <c r="H2" s="94">
        <v>92.479674796747972</v>
      </c>
      <c r="I2" s="92">
        <v>92.434210526315795</v>
      </c>
      <c r="J2" s="92">
        <v>65.432098765432102</v>
      </c>
      <c r="K2" s="92">
        <v>87.962962962962962</v>
      </c>
      <c r="L2" s="92"/>
      <c r="M2" s="93"/>
      <c r="N2" s="94"/>
      <c r="O2" s="92"/>
      <c r="P2" s="92"/>
      <c r="Q2" s="95"/>
      <c r="R2" s="92"/>
      <c r="S2" s="93"/>
      <c r="T2" s="94"/>
      <c r="U2" s="92"/>
      <c r="V2" s="92"/>
      <c r="W2" s="95"/>
      <c r="X2" s="95"/>
      <c r="Y2" s="96"/>
      <c r="Z2" s="97">
        <v>0</v>
      </c>
      <c r="AA2" s="98">
        <v>0</v>
      </c>
      <c r="AB2" s="99"/>
      <c r="AC2" s="99"/>
      <c r="AD2" s="99"/>
      <c r="AE2" s="100"/>
      <c r="AF2" s="97">
        <v>0</v>
      </c>
      <c r="AG2" s="98">
        <v>0</v>
      </c>
      <c r="AH2" s="99"/>
      <c r="AI2" s="99"/>
      <c r="AJ2" s="99"/>
      <c r="AK2" s="100"/>
      <c r="AL2" s="80"/>
      <c r="AM2" s="99"/>
      <c r="AN2" s="99"/>
      <c r="AO2" s="99"/>
      <c r="AP2" s="99"/>
      <c r="AQ2" s="100"/>
      <c r="AR2" s="80"/>
      <c r="AS2" s="99"/>
      <c r="AT2" s="99"/>
      <c r="AU2" s="99"/>
      <c r="AV2" s="99"/>
      <c r="AW2" s="100"/>
      <c r="AX2" s="101"/>
      <c r="AY2" s="102">
        <v>49.056603773584904</v>
      </c>
      <c r="AZ2" s="103"/>
      <c r="BA2" s="102">
        <v>56.71641791044776</v>
      </c>
      <c r="BB2" s="103"/>
      <c r="BC2" s="104"/>
    </row>
    <row r="3" spans="1:55">
      <c r="A3" s="90" t="s">
        <v>124</v>
      </c>
      <c r="B3" s="91">
        <v>89.957264957264954</v>
      </c>
      <c r="C3" s="92">
        <v>46.621621621621621</v>
      </c>
      <c r="D3" s="92">
        <v>47.5</v>
      </c>
      <c r="E3" s="92"/>
      <c r="F3" s="92"/>
      <c r="G3" s="93"/>
      <c r="H3" s="94"/>
      <c r="I3" s="92"/>
      <c r="J3" s="92"/>
      <c r="K3" s="92"/>
      <c r="L3" s="92"/>
      <c r="M3" s="93"/>
      <c r="N3" s="94">
        <v>89.957264957264954</v>
      </c>
      <c r="O3" s="92">
        <v>46.621621621621621</v>
      </c>
      <c r="P3" s="92">
        <v>47.5</v>
      </c>
      <c r="Q3" s="95"/>
      <c r="R3" s="92"/>
      <c r="S3" s="93"/>
      <c r="T3" s="94"/>
      <c r="U3" s="92"/>
      <c r="V3" s="92"/>
      <c r="W3" s="95"/>
      <c r="X3" s="95"/>
      <c r="Y3" s="96"/>
      <c r="Z3" s="97"/>
      <c r="AA3" s="98"/>
      <c r="AB3" s="99"/>
      <c r="AC3" s="99"/>
      <c r="AD3" s="99"/>
      <c r="AE3" s="100"/>
      <c r="AF3" s="97"/>
      <c r="AG3" s="98"/>
      <c r="AH3" s="99"/>
      <c r="AI3" s="99"/>
      <c r="AJ3" s="99"/>
      <c r="AK3" s="100"/>
      <c r="AL3" s="80"/>
      <c r="AM3" s="99"/>
      <c r="AN3" s="99"/>
      <c r="AO3" s="99"/>
      <c r="AP3" s="99"/>
      <c r="AQ3" s="100"/>
      <c r="AR3" s="80"/>
      <c r="AS3" s="99"/>
      <c r="AT3" s="99"/>
      <c r="AU3" s="99"/>
      <c r="AV3" s="99"/>
      <c r="AW3" s="100"/>
      <c r="AX3" s="101"/>
      <c r="AY3" s="102"/>
      <c r="AZ3" s="103"/>
      <c r="BA3" s="102"/>
      <c r="BB3" s="103"/>
      <c r="BC3" s="104"/>
    </row>
    <row r="4" spans="1:55">
      <c r="A4" s="90" t="s">
        <v>435</v>
      </c>
      <c r="B4" s="91">
        <v>88.209219858156033</v>
      </c>
      <c r="C4" s="92">
        <v>81.410256410256409</v>
      </c>
      <c r="D4" s="92"/>
      <c r="E4" s="92"/>
      <c r="F4" s="92"/>
      <c r="G4" s="93"/>
      <c r="H4" s="94"/>
      <c r="I4" s="92"/>
      <c r="J4" s="92"/>
      <c r="K4" s="92"/>
      <c r="L4" s="92"/>
      <c r="M4" s="93"/>
      <c r="N4" s="94">
        <v>87.083333333333329</v>
      </c>
      <c r="O4" s="92">
        <v>83.881578947368425</v>
      </c>
      <c r="P4" s="92"/>
      <c r="Q4" s="95"/>
      <c r="R4" s="92"/>
      <c r="S4" s="93"/>
      <c r="T4" s="94">
        <v>94.642857142857139</v>
      </c>
      <c r="U4" s="92">
        <v>76.829268292682926</v>
      </c>
      <c r="V4" s="92"/>
      <c r="W4" s="95"/>
      <c r="X4" s="95"/>
      <c r="Y4" s="96"/>
      <c r="Z4" s="97"/>
      <c r="AA4" s="98"/>
      <c r="AB4" s="99"/>
      <c r="AC4" s="99"/>
      <c r="AD4" s="99"/>
      <c r="AE4" s="100"/>
      <c r="AF4" s="97"/>
      <c r="AG4" s="98"/>
      <c r="AH4" s="99"/>
      <c r="AI4" s="99"/>
      <c r="AJ4" s="99"/>
      <c r="AK4" s="100"/>
      <c r="AL4" s="80"/>
      <c r="AM4" s="99"/>
      <c r="AN4" s="99"/>
      <c r="AO4" s="99"/>
      <c r="AP4" s="99"/>
      <c r="AQ4" s="100"/>
      <c r="AR4" s="80"/>
      <c r="AS4" s="99"/>
      <c r="AT4" s="99"/>
      <c r="AU4" s="99"/>
      <c r="AV4" s="99"/>
      <c r="AW4" s="100"/>
      <c r="AX4" s="101"/>
      <c r="AY4" s="102"/>
      <c r="AZ4" s="103"/>
      <c r="BA4" s="102"/>
      <c r="BB4" s="103"/>
      <c r="BC4" s="104"/>
    </row>
    <row r="5" spans="1:55">
      <c r="A5" s="90" t="s">
        <v>436</v>
      </c>
      <c r="B5" s="91">
        <v>88.109756097560975</v>
      </c>
      <c r="C5" s="92">
        <v>66.911764705882348</v>
      </c>
      <c r="D5" s="92"/>
      <c r="E5" s="92"/>
      <c r="F5" s="92"/>
      <c r="G5" s="93"/>
      <c r="H5" s="94">
        <v>88.84297520661157</v>
      </c>
      <c r="I5" s="92">
        <v>75.757575757575751</v>
      </c>
      <c r="J5" s="92"/>
      <c r="K5" s="92"/>
      <c r="L5" s="92"/>
      <c r="M5" s="93"/>
      <c r="N5" s="94"/>
      <c r="O5" s="92"/>
      <c r="P5" s="92"/>
      <c r="Q5" s="95"/>
      <c r="R5" s="92"/>
      <c r="S5" s="93"/>
      <c r="T5" s="94">
        <v>86.04651162790698</v>
      </c>
      <c r="U5" s="92">
        <v>58.571428571428569</v>
      </c>
      <c r="V5" s="92"/>
      <c r="W5" s="95"/>
      <c r="X5" s="95"/>
      <c r="Y5" s="96"/>
      <c r="Z5" s="97">
        <v>0</v>
      </c>
      <c r="AA5" s="98"/>
      <c r="AB5" s="99"/>
      <c r="AC5" s="99"/>
      <c r="AD5" s="99"/>
      <c r="AE5" s="100"/>
      <c r="AF5" s="97">
        <v>0</v>
      </c>
      <c r="AG5" s="98"/>
      <c r="AH5" s="99"/>
      <c r="AI5" s="99"/>
      <c r="AJ5" s="99"/>
      <c r="AK5" s="100"/>
      <c r="AL5" s="80"/>
      <c r="AM5" s="99"/>
      <c r="AN5" s="99"/>
      <c r="AO5" s="99"/>
      <c r="AP5" s="99"/>
      <c r="AQ5" s="100"/>
      <c r="AR5" s="80"/>
      <c r="AS5" s="99"/>
      <c r="AT5" s="99"/>
      <c r="AU5" s="99"/>
      <c r="AV5" s="99"/>
      <c r="AW5" s="100"/>
      <c r="AX5" s="101"/>
      <c r="AY5" s="102"/>
      <c r="AZ5" s="103"/>
      <c r="BA5" s="102"/>
      <c r="BB5" s="103"/>
      <c r="BC5" s="104"/>
    </row>
    <row r="6" spans="1:55">
      <c r="A6" s="90" t="s">
        <v>134</v>
      </c>
      <c r="B6" s="91">
        <v>85.9375</v>
      </c>
      <c r="C6" s="92">
        <v>88.730569948186528</v>
      </c>
      <c r="D6" s="92">
        <v>77.160493827160494</v>
      </c>
      <c r="E6" s="92">
        <v>94.594594594594597</v>
      </c>
      <c r="F6" s="92"/>
      <c r="G6" s="93"/>
      <c r="H6" s="94">
        <v>90.248962655601659</v>
      </c>
      <c r="I6" s="92">
        <v>96.120689655172413</v>
      </c>
      <c r="J6" s="92">
        <v>77.160493827160494</v>
      </c>
      <c r="K6" s="92">
        <v>94.594594594594597</v>
      </c>
      <c r="L6" s="92"/>
      <c r="M6" s="93"/>
      <c r="N6" s="94">
        <v>87.396694214876035</v>
      </c>
      <c r="O6" s="92">
        <v>89.743589743589737</v>
      </c>
      <c r="P6" s="92"/>
      <c r="Q6" s="95"/>
      <c r="R6" s="92"/>
      <c r="S6" s="93"/>
      <c r="T6" s="94">
        <v>53.94736842105263</v>
      </c>
      <c r="U6" s="92">
        <v>65.131578947368425</v>
      </c>
      <c r="V6" s="92"/>
      <c r="W6" s="95"/>
      <c r="X6" s="95"/>
      <c r="Y6" s="96"/>
      <c r="Z6" s="97">
        <v>81.304347826086953</v>
      </c>
      <c r="AA6" s="98"/>
      <c r="AB6" s="99"/>
      <c r="AC6" s="99"/>
      <c r="AD6" s="99"/>
      <c r="AE6" s="100"/>
      <c r="AF6" s="97">
        <v>81.304347826086953</v>
      </c>
      <c r="AG6" s="98"/>
      <c r="AH6" s="99"/>
      <c r="AI6" s="99"/>
      <c r="AJ6" s="99"/>
      <c r="AK6" s="100"/>
      <c r="AL6" s="80"/>
      <c r="AM6" s="99"/>
      <c r="AN6" s="99"/>
      <c r="AO6" s="99"/>
      <c r="AP6" s="99"/>
      <c r="AQ6" s="100"/>
      <c r="AR6" s="80"/>
      <c r="AS6" s="99"/>
      <c r="AT6" s="99"/>
      <c r="AU6" s="99"/>
      <c r="AV6" s="99"/>
      <c r="AW6" s="100"/>
      <c r="AX6" s="101"/>
      <c r="AY6" s="102"/>
      <c r="AZ6" s="103"/>
      <c r="BA6" s="102"/>
      <c r="BB6" s="103"/>
      <c r="BC6" s="104"/>
    </row>
    <row r="7" spans="1:55">
      <c r="A7" s="90" t="s">
        <v>437</v>
      </c>
      <c r="B7" s="91">
        <v>85.416666666666671</v>
      </c>
      <c r="C7" s="92">
        <v>75.641025641025635</v>
      </c>
      <c r="D7" s="92"/>
      <c r="E7" s="92"/>
      <c r="F7" s="92"/>
      <c r="G7" s="93"/>
      <c r="H7" s="94"/>
      <c r="I7" s="92"/>
      <c r="J7" s="92"/>
      <c r="K7" s="92"/>
      <c r="L7" s="92"/>
      <c r="M7" s="93"/>
      <c r="N7" s="94">
        <v>85.416666666666671</v>
      </c>
      <c r="O7" s="92">
        <v>75.641025641025635</v>
      </c>
      <c r="P7" s="92"/>
      <c r="Q7" s="95"/>
      <c r="R7" s="92"/>
      <c r="S7" s="93"/>
      <c r="T7" s="94"/>
      <c r="U7" s="92"/>
      <c r="V7" s="92"/>
      <c r="W7" s="95"/>
      <c r="X7" s="95"/>
      <c r="Y7" s="96"/>
      <c r="Z7" s="97"/>
      <c r="AA7" s="98"/>
      <c r="AB7" s="99"/>
      <c r="AC7" s="99"/>
      <c r="AD7" s="99"/>
      <c r="AE7" s="100"/>
      <c r="AF7" s="97"/>
      <c r="AG7" s="98"/>
      <c r="AH7" s="99"/>
      <c r="AI7" s="99"/>
      <c r="AJ7" s="99"/>
      <c r="AK7" s="100"/>
      <c r="AL7" s="80"/>
      <c r="AM7" s="99"/>
      <c r="AN7" s="99"/>
      <c r="AO7" s="99"/>
      <c r="AP7" s="99"/>
      <c r="AQ7" s="100"/>
      <c r="AR7" s="80"/>
      <c r="AS7" s="99"/>
      <c r="AT7" s="99"/>
      <c r="AU7" s="99"/>
      <c r="AV7" s="99"/>
      <c r="AW7" s="100"/>
      <c r="AX7" s="101"/>
      <c r="AY7" s="102"/>
      <c r="AZ7" s="103"/>
      <c r="BA7" s="102"/>
      <c r="BB7" s="103"/>
      <c r="BC7" s="104"/>
    </row>
    <row r="8" spans="1:55">
      <c r="A8" s="90" t="s">
        <v>113</v>
      </c>
      <c r="B8" s="91">
        <v>84.316267012313673</v>
      </c>
      <c r="C8" s="92">
        <v>87.074303405572749</v>
      </c>
      <c r="D8" s="92">
        <v>76.822916666666671</v>
      </c>
      <c r="E8" s="92">
        <v>87.955182072829132</v>
      </c>
      <c r="F8" s="92"/>
      <c r="G8" s="93"/>
      <c r="H8" s="94">
        <v>83.339928769291646</v>
      </c>
      <c r="I8" s="92">
        <v>88.610038610038615</v>
      </c>
      <c r="J8" s="92">
        <v>75.539215686274503</v>
      </c>
      <c r="K8" s="92">
        <v>87.955182072829132</v>
      </c>
      <c r="L8" s="92"/>
      <c r="M8" s="93"/>
      <c r="N8" s="94">
        <v>86.687697160883275</v>
      </c>
      <c r="O8" s="92">
        <v>85.818476499189629</v>
      </c>
      <c r="P8" s="92">
        <v>80.864197530864203</v>
      </c>
      <c r="Q8" s="95"/>
      <c r="R8" s="92"/>
      <c r="S8" s="93"/>
      <c r="T8" s="94">
        <v>81.818181818181813</v>
      </c>
      <c r="U8" s="92">
        <v>86.305147058823536</v>
      </c>
      <c r="V8" s="92"/>
      <c r="W8" s="95"/>
      <c r="X8" s="95"/>
      <c r="Y8" s="96"/>
      <c r="Z8" s="97">
        <v>85.867768595041326</v>
      </c>
      <c r="AA8" s="98">
        <v>82.142857142857139</v>
      </c>
      <c r="AB8" s="99"/>
      <c r="AC8" s="99"/>
      <c r="AD8" s="99"/>
      <c r="AE8" s="100"/>
      <c r="AF8" s="97">
        <v>85.867768595041326</v>
      </c>
      <c r="AG8" s="98">
        <v>82.142857142857139</v>
      </c>
      <c r="AH8" s="99"/>
      <c r="AI8" s="99"/>
      <c r="AJ8" s="99"/>
      <c r="AK8" s="100"/>
      <c r="AL8" s="80"/>
      <c r="AM8" s="99"/>
      <c r="AN8" s="99"/>
      <c r="AO8" s="99"/>
      <c r="AP8" s="99"/>
      <c r="AQ8" s="100"/>
      <c r="AR8" s="80"/>
      <c r="AS8" s="99"/>
      <c r="AT8" s="99"/>
      <c r="AU8" s="99"/>
      <c r="AV8" s="99"/>
      <c r="AW8" s="100"/>
      <c r="AX8" s="101">
        <v>89.224137931034477</v>
      </c>
      <c r="AY8" s="102">
        <v>86.086956521739125</v>
      </c>
      <c r="AZ8" s="103"/>
      <c r="BA8" s="102">
        <v>94.782608695652172</v>
      </c>
      <c r="BB8" s="103"/>
      <c r="BC8" s="104"/>
    </row>
    <row r="9" spans="1:55">
      <c r="A9" s="90" t="s">
        <v>438</v>
      </c>
      <c r="B9" s="91">
        <v>81.653225806451616</v>
      </c>
      <c r="C9" s="92">
        <v>55.555555555555557</v>
      </c>
      <c r="D9" s="92"/>
      <c r="E9" s="92"/>
      <c r="F9" s="92"/>
      <c r="G9" s="93"/>
      <c r="H9" s="94"/>
      <c r="I9" s="92"/>
      <c r="J9" s="92"/>
      <c r="K9" s="92"/>
      <c r="L9" s="92"/>
      <c r="M9" s="93"/>
      <c r="N9" s="94">
        <v>81.653225806451616</v>
      </c>
      <c r="O9" s="92">
        <v>55.555555555555557</v>
      </c>
      <c r="P9" s="92"/>
      <c r="Q9" s="95"/>
      <c r="R9" s="92"/>
      <c r="S9" s="93"/>
      <c r="T9" s="94"/>
      <c r="U9" s="92"/>
      <c r="V9" s="92"/>
      <c r="W9" s="95"/>
      <c r="X9" s="95"/>
      <c r="Y9" s="96"/>
      <c r="Z9" s="97"/>
      <c r="AA9" s="98"/>
      <c r="AB9" s="99"/>
      <c r="AC9" s="99"/>
      <c r="AD9" s="99"/>
      <c r="AE9" s="100"/>
      <c r="AF9" s="97"/>
      <c r="AG9" s="98"/>
      <c r="AH9" s="99"/>
      <c r="AI9" s="99"/>
      <c r="AJ9" s="99"/>
      <c r="AK9" s="100"/>
      <c r="AL9" s="80"/>
      <c r="AM9" s="99"/>
      <c r="AN9" s="99"/>
      <c r="AO9" s="99"/>
      <c r="AP9" s="99"/>
      <c r="AQ9" s="100"/>
      <c r="AR9" s="80"/>
      <c r="AS9" s="99"/>
      <c r="AT9" s="99"/>
      <c r="AU9" s="99"/>
      <c r="AV9" s="99"/>
      <c r="AW9" s="100"/>
      <c r="AX9" s="101"/>
      <c r="AY9" s="102"/>
      <c r="AZ9" s="103"/>
      <c r="BA9" s="102"/>
      <c r="BB9" s="103"/>
      <c r="BC9" s="104"/>
    </row>
    <row r="10" spans="1:55">
      <c r="A10" s="90" t="s">
        <v>439</v>
      </c>
      <c r="B10" s="91">
        <v>81.395348837209298</v>
      </c>
      <c r="C10" s="92">
        <v>27.702702702702702</v>
      </c>
      <c r="D10" s="92"/>
      <c r="E10" s="92"/>
      <c r="F10" s="92"/>
      <c r="G10" s="93"/>
      <c r="H10" s="94"/>
      <c r="I10" s="92"/>
      <c r="J10" s="92"/>
      <c r="K10" s="92"/>
      <c r="L10" s="92"/>
      <c r="M10" s="93"/>
      <c r="N10" s="94"/>
      <c r="O10" s="92"/>
      <c r="P10" s="92"/>
      <c r="Q10" s="95"/>
      <c r="R10" s="92"/>
      <c r="S10" s="93"/>
      <c r="T10" s="94">
        <v>81.395348837209298</v>
      </c>
      <c r="U10" s="92">
        <v>27.702702702702702</v>
      </c>
      <c r="V10" s="92"/>
      <c r="W10" s="95"/>
      <c r="X10" s="95"/>
      <c r="Y10" s="96"/>
      <c r="Z10" s="97"/>
      <c r="AA10" s="98"/>
      <c r="AB10" s="99"/>
      <c r="AC10" s="99"/>
      <c r="AD10" s="99"/>
      <c r="AE10" s="100"/>
      <c r="AF10" s="97"/>
      <c r="AG10" s="98"/>
      <c r="AH10" s="99"/>
      <c r="AI10" s="99"/>
      <c r="AJ10" s="99"/>
      <c r="AK10" s="100"/>
      <c r="AL10" s="80"/>
      <c r="AM10" s="99"/>
      <c r="AN10" s="99"/>
      <c r="AO10" s="99"/>
      <c r="AP10" s="99"/>
      <c r="AQ10" s="100"/>
      <c r="AR10" s="80"/>
      <c r="AS10" s="99"/>
      <c r="AT10" s="99"/>
      <c r="AU10" s="99"/>
      <c r="AV10" s="99"/>
      <c r="AW10" s="100"/>
      <c r="AX10" s="101"/>
      <c r="AY10" s="102"/>
      <c r="AZ10" s="103"/>
      <c r="BA10" s="102"/>
      <c r="BB10" s="103"/>
      <c r="BC10" s="104"/>
    </row>
    <row r="11" spans="1:55">
      <c r="A11" s="90" t="s">
        <v>49</v>
      </c>
      <c r="B11" s="91">
        <v>78.984375</v>
      </c>
      <c r="C11" s="92">
        <v>77.486910994764401</v>
      </c>
      <c r="D11" s="92">
        <v>79.268292682926827</v>
      </c>
      <c r="E11" s="92">
        <v>82.638888888888886</v>
      </c>
      <c r="F11" s="92"/>
      <c r="G11" s="93"/>
      <c r="H11" s="94">
        <v>82.34693877551021</v>
      </c>
      <c r="I11" s="92">
        <v>84.21052631578948</v>
      </c>
      <c r="J11" s="92">
        <v>79.268292682926827</v>
      </c>
      <c r="K11" s="92">
        <v>82.638888888888886</v>
      </c>
      <c r="L11" s="92"/>
      <c r="M11" s="93"/>
      <c r="N11" s="94">
        <v>73.07692307692308</v>
      </c>
      <c r="O11" s="92">
        <v>70.779220779220779</v>
      </c>
      <c r="P11" s="92"/>
      <c r="Q11" s="95"/>
      <c r="R11" s="92"/>
      <c r="S11" s="93"/>
      <c r="T11" s="94">
        <v>62.5</v>
      </c>
      <c r="U11" s="92">
        <v>77.631578947368425</v>
      </c>
      <c r="V11" s="92"/>
      <c r="W11" s="95"/>
      <c r="X11" s="95"/>
      <c r="Y11" s="96"/>
      <c r="Z11" s="97">
        <v>62.8125</v>
      </c>
      <c r="AA11" s="98">
        <v>75.370370370370367</v>
      </c>
      <c r="AB11" s="99"/>
      <c r="AC11" s="99"/>
      <c r="AD11" s="99"/>
      <c r="AE11" s="100"/>
      <c r="AF11" s="97">
        <v>62.8125</v>
      </c>
      <c r="AG11" s="98">
        <v>75.370370370370367</v>
      </c>
      <c r="AH11" s="99"/>
      <c r="AI11" s="99"/>
      <c r="AJ11" s="99"/>
      <c r="AK11" s="100"/>
      <c r="AL11" s="80"/>
      <c r="AM11" s="99"/>
      <c r="AN11" s="99"/>
      <c r="AO11" s="99"/>
      <c r="AP11" s="99"/>
      <c r="AQ11" s="100"/>
      <c r="AR11" s="80"/>
      <c r="AS11" s="99"/>
      <c r="AT11" s="99"/>
      <c r="AU11" s="99"/>
      <c r="AV11" s="99"/>
      <c r="AW11" s="100"/>
      <c r="AX11" s="101">
        <v>62.5</v>
      </c>
      <c r="AY11" s="102">
        <v>69.565217391304344</v>
      </c>
      <c r="AZ11" s="103"/>
      <c r="BA11" s="102">
        <v>82.608695652173907</v>
      </c>
      <c r="BB11" s="103"/>
      <c r="BC11" s="104"/>
    </row>
    <row r="12" spans="1:55">
      <c r="A12" s="90" t="s">
        <v>123</v>
      </c>
      <c r="B12" s="91">
        <v>77.988047808764946</v>
      </c>
      <c r="C12" s="92">
        <v>52.985074626865668</v>
      </c>
      <c r="D12" s="92">
        <v>58.75</v>
      </c>
      <c r="E12" s="92"/>
      <c r="F12" s="92"/>
      <c r="G12" s="93"/>
      <c r="H12" s="94">
        <v>77.988047808764946</v>
      </c>
      <c r="I12" s="92">
        <v>52.985074626865668</v>
      </c>
      <c r="J12" s="92">
        <v>58.75</v>
      </c>
      <c r="K12" s="92"/>
      <c r="L12" s="92"/>
      <c r="M12" s="93"/>
      <c r="N12" s="94"/>
      <c r="O12" s="92"/>
      <c r="P12" s="92"/>
      <c r="Q12" s="95"/>
      <c r="R12" s="92"/>
      <c r="S12" s="93"/>
      <c r="T12" s="94"/>
      <c r="U12" s="92"/>
      <c r="V12" s="92"/>
      <c r="W12" s="95"/>
      <c r="X12" s="95"/>
      <c r="Y12" s="96"/>
      <c r="Z12" s="97">
        <v>80.701754385964918</v>
      </c>
      <c r="AA12" s="98"/>
      <c r="AB12" s="99"/>
      <c r="AC12" s="99"/>
      <c r="AD12" s="99"/>
      <c r="AE12" s="100"/>
      <c r="AF12" s="97">
        <v>80.701754385964918</v>
      </c>
      <c r="AG12" s="98"/>
      <c r="AH12" s="99"/>
      <c r="AI12" s="99"/>
      <c r="AJ12" s="99"/>
      <c r="AK12" s="100"/>
      <c r="AL12" s="80"/>
      <c r="AM12" s="99"/>
      <c r="AN12" s="99"/>
      <c r="AO12" s="99"/>
      <c r="AP12" s="99"/>
      <c r="AQ12" s="100"/>
      <c r="AR12" s="80"/>
      <c r="AS12" s="99"/>
      <c r="AT12" s="99"/>
      <c r="AU12" s="99"/>
      <c r="AV12" s="99"/>
      <c r="AW12" s="100"/>
      <c r="AX12" s="101"/>
      <c r="AY12" s="102"/>
      <c r="AZ12" s="103"/>
      <c r="BA12" s="102"/>
      <c r="BB12" s="103"/>
      <c r="BC12" s="104"/>
    </row>
    <row r="13" spans="1:55">
      <c r="A13" s="90" t="s">
        <v>135</v>
      </c>
      <c r="B13" s="91">
        <v>77.971311475409834</v>
      </c>
      <c r="C13" s="92">
        <v>85.256410256410263</v>
      </c>
      <c r="D13" s="92">
        <v>71.951219512195124</v>
      </c>
      <c r="E13" s="92">
        <v>81.944444444444443</v>
      </c>
      <c r="F13" s="92"/>
      <c r="G13" s="93"/>
      <c r="H13" s="94">
        <v>77.971311475409834</v>
      </c>
      <c r="I13" s="92">
        <v>85.256410256410263</v>
      </c>
      <c r="J13" s="92">
        <v>71.951219512195124</v>
      </c>
      <c r="K13" s="92">
        <v>81.944444444444443</v>
      </c>
      <c r="L13" s="92"/>
      <c r="M13" s="93"/>
      <c r="N13" s="94"/>
      <c r="O13" s="92"/>
      <c r="P13" s="92"/>
      <c r="Q13" s="95"/>
      <c r="R13" s="92"/>
      <c r="S13" s="93"/>
      <c r="T13" s="94"/>
      <c r="U13" s="92"/>
      <c r="V13" s="92"/>
      <c r="W13" s="95"/>
      <c r="X13" s="95"/>
      <c r="Y13" s="96"/>
      <c r="Z13" s="97">
        <v>73.949579831932766</v>
      </c>
      <c r="AA13" s="98"/>
      <c r="AB13" s="99"/>
      <c r="AC13" s="99"/>
      <c r="AD13" s="99"/>
      <c r="AE13" s="100"/>
      <c r="AF13" s="97">
        <v>73.949579831932766</v>
      </c>
      <c r="AG13" s="98"/>
      <c r="AH13" s="99"/>
      <c r="AI13" s="99"/>
      <c r="AJ13" s="99"/>
      <c r="AK13" s="100"/>
      <c r="AL13" s="80"/>
      <c r="AM13" s="99"/>
      <c r="AN13" s="99"/>
      <c r="AO13" s="99"/>
      <c r="AP13" s="99"/>
      <c r="AQ13" s="100"/>
      <c r="AR13" s="80"/>
      <c r="AS13" s="99"/>
      <c r="AT13" s="99"/>
      <c r="AU13" s="99"/>
      <c r="AV13" s="99"/>
      <c r="AW13" s="100"/>
      <c r="AX13" s="101"/>
      <c r="AY13" s="102"/>
      <c r="AZ13" s="103"/>
      <c r="BA13" s="102"/>
      <c r="BB13" s="103"/>
      <c r="BC13" s="104"/>
    </row>
    <row r="14" spans="1:55">
      <c r="A14" s="90" t="s">
        <v>440</v>
      </c>
      <c r="B14" s="91">
        <v>77.38095238095238</v>
      </c>
      <c r="C14" s="92">
        <v>41.44736842105263</v>
      </c>
      <c r="D14" s="92"/>
      <c r="E14" s="92"/>
      <c r="F14" s="92"/>
      <c r="G14" s="93"/>
      <c r="H14" s="94"/>
      <c r="I14" s="92"/>
      <c r="J14" s="92"/>
      <c r="K14" s="92"/>
      <c r="L14" s="92"/>
      <c r="M14" s="93"/>
      <c r="N14" s="94"/>
      <c r="O14" s="92"/>
      <c r="P14" s="92"/>
      <c r="Q14" s="95"/>
      <c r="R14" s="92"/>
      <c r="S14" s="93"/>
      <c r="T14" s="94">
        <v>77.38095238095238</v>
      </c>
      <c r="U14" s="92">
        <v>41.44736842105263</v>
      </c>
      <c r="V14" s="92"/>
      <c r="W14" s="95"/>
      <c r="X14" s="95"/>
      <c r="Y14" s="96"/>
      <c r="Z14" s="97"/>
      <c r="AA14" s="98"/>
      <c r="AB14" s="99"/>
      <c r="AC14" s="99"/>
      <c r="AD14" s="99"/>
      <c r="AE14" s="100"/>
      <c r="AF14" s="97"/>
      <c r="AG14" s="98"/>
      <c r="AH14" s="99"/>
      <c r="AI14" s="99"/>
      <c r="AJ14" s="99"/>
      <c r="AK14" s="100"/>
      <c r="AL14" s="80"/>
      <c r="AM14" s="99"/>
      <c r="AN14" s="99"/>
      <c r="AO14" s="99"/>
      <c r="AP14" s="99"/>
      <c r="AQ14" s="100"/>
      <c r="AR14" s="80"/>
      <c r="AS14" s="99"/>
      <c r="AT14" s="99"/>
      <c r="AU14" s="99"/>
      <c r="AV14" s="99"/>
      <c r="AW14" s="100"/>
      <c r="AX14" s="101"/>
      <c r="AY14" s="102"/>
      <c r="AZ14" s="103"/>
      <c r="BA14" s="102"/>
      <c r="BB14" s="103"/>
      <c r="BC14" s="104"/>
    </row>
    <row r="15" spans="1:55">
      <c r="A15" s="90" t="s">
        <v>48</v>
      </c>
      <c r="B15" s="91">
        <v>77.44618395303327</v>
      </c>
      <c r="C15" s="92">
        <v>72.869955156950667</v>
      </c>
      <c r="D15" s="92">
        <v>85</v>
      </c>
      <c r="E15" s="92">
        <v>82.870370370370367</v>
      </c>
      <c r="F15" s="92"/>
      <c r="G15" s="93"/>
      <c r="H15" s="94">
        <v>76.995798319327733</v>
      </c>
      <c r="I15" s="92">
        <v>86.184210526315795</v>
      </c>
      <c r="J15" s="92">
        <v>85</v>
      </c>
      <c r="K15" s="92">
        <v>82.870370370370367</v>
      </c>
      <c r="L15" s="92"/>
      <c r="M15" s="93"/>
      <c r="N15" s="94">
        <v>86.274509803921575</v>
      </c>
      <c r="O15" s="92">
        <v>85.443037974683548</v>
      </c>
      <c r="P15" s="92"/>
      <c r="Q15" s="95"/>
      <c r="R15" s="92"/>
      <c r="S15" s="93"/>
      <c r="T15" s="94">
        <v>52.89855072463768</v>
      </c>
      <c r="U15" s="92">
        <v>43.382352941176471</v>
      </c>
      <c r="V15" s="92"/>
      <c r="W15" s="95"/>
      <c r="X15" s="95"/>
      <c r="Y15" s="96"/>
      <c r="Z15" s="97">
        <v>34.6875</v>
      </c>
      <c r="AA15" s="98">
        <v>10</v>
      </c>
      <c r="AB15" s="99"/>
      <c r="AC15" s="99"/>
      <c r="AD15" s="99"/>
      <c r="AE15" s="100"/>
      <c r="AF15" s="97">
        <v>34.6875</v>
      </c>
      <c r="AG15" s="98">
        <v>10</v>
      </c>
      <c r="AH15" s="99"/>
      <c r="AI15" s="99"/>
      <c r="AJ15" s="99"/>
      <c r="AK15" s="100"/>
      <c r="AL15" s="80"/>
      <c r="AM15" s="99"/>
      <c r="AN15" s="99"/>
      <c r="AO15" s="99"/>
      <c r="AP15" s="99"/>
      <c r="AQ15" s="100"/>
      <c r="AR15" s="80"/>
      <c r="AS15" s="99"/>
      <c r="AT15" s="99"/>
      <c r="AU15" s="99"/>
      <c r="AV15" s="99"/>
      <c r="AW15" s="100"/>
      <c r="AX15" s="101">
        <v>45.454545454545453</v>
      </c>
      <c r="AY15" s="102">
        <v>65.909090909090907</v>
      </c>
      <c r="AZ15" s="103"/>
      <c r="BA15" s="102">
        <v>95.652173913043484</v>
      </c>
      <c r="BB15" s="103"/>
      <c r="BC15" s="104"/>
    </row>
    <row r="16" spans="1:55">
      <c r="A16" s="90" t="s">
        <v>441</v>
      </c>
      <c r="B16" s="91">
        <v>76.875</v>
      </c>
      <c r="C16" s="92">
        <v>37.179487179487182</v>
      </c>
      <c r="D16" s="92"/>
      <c r="E16" s="92"/>
      <c r="F16" s="92"/>
      <c r="G16" s="93"/>
      <c r="H16" s="94"/>
      <c r="I16" s="92"/>
      <c r="J16" s="92"/>
      <c r="K16" s="92"/>
      <c r="L16" s="92"/>
      <c r="M16" s="93"/>
      <c r="N16" s="94"/>
      <c r="O16" s="92"/>
      <c r="P16" s="92"/>
      <c r="Q16" s="95"/>
      <c r="R16" s="92"/>
      <c r="S16" s="93"/>
      <c r="T16" s="94">
        <v>76.875</v>
      </c>
      <c r="U16" s="92">
        <v>37.179487179487182</v>
      </c>
      <c r="V16" s="92"/>
      <c r="W16" s="95"/>
      <c r="X16" s="95"/>
      <c r="Y16" s="96"/>
      <c r="Z16" s="97"/>
      <c r="AA16" s="98"/>
      <c r="AB16" s="99"/>
      <c r="AC16" s="99"/>
      <c r="AD16" s="99"/>
      <c r="AE16" s="100"/>
      <c r="AF16" s="97"/>
      <c r="AG16" s="98"/>
      <c r="AH16" s="99"/>
      <c r="AI16" s="99"/>
      <c r="AJ16" s="99"/>
      <c r="AK16" s="100"/>
      <c r="AL16" s="80"/>
      <c r="AM16" s="99"/>
      <c r="AN16" s="99"/>
      <c r="AO16" s="99"/>
      <c r="AP16" s="99"/>
      <c r="AQ16" s="100"/>
      <c r="AR16" s="80"/>
      <c r="AS16" s="99"/>
      <c r="AT16" s="99"/>
      <c r="AU16" s="99"/>
      <c r="AV16" s="99"/>
      <c r="AW16" s="100"/>
      <c r="AX16" s="101"/>
      <c r="AY16" s="102"/>
      <c r="AZ16" s="103"/>
      <c r="BA16" s="102"/>
      <c r="BB16" s="103"/>
      <c r="BC16" s="104"/>
    </row>
    <row r="17" spans="1:55">
      <c r="A17" s="90" t="s">
        <v>442</v>
      </c>
      <c r="B17" s="91">
        <v>75.446428571428569</v>
      </c>
      <c r="C17" s="92">
        <v>59.246575342465754</v>
      </c>
      <c r="D17" s="92"/>
      <c r="E17" s="92"/>
      <c r="F17" s="92"/>
      <c r="G17" s="93"/>
      <c r="H17" s="94"/>
      <c r="I17" s="92"/>
      <c r="J17" s="92"/>
      <c r="K17" s="92"/>
      <c r="L17" s="92"/>
      <c r="M17" s="93"/>
      <c r="N17" s="94">
        <v>73.101265822784811</v>
      </c>
      <c r="O17" s="92">
        <v>59.246575342465754</v>
      </c>
      <c r="P17" s="92"/>
      <c r="Q17" s="95"/>
      <c r="R17" s="92"/>
      <c r="S17" s="93"/>
      <c r="T17" s="94">
        <v>88.372093023255815</v>
      </c>
      <c r="U17" s="92"/>
      <c r="V17" s="92"/>
      <c r="W17" s="95"/>
      <c r="X17" s="95"/>
      <c r="Y17" s="96"/>
      <c r="Z17" s="97"/>
      <c r="AA17" s="98"/>
      <c r="AB17" s="99"/>
      <c r="AC17" s="99"/>
      <c r="AD17" s="99"/>
      <c r="AE17" s="100"/>
      <c r="AF17" s="97"/>
      <c r="AG17" s="98"/>
      <c r="AH17" s="99"/>
      <c r="AI17" s="99"/>
      <c r="AJ17" s="99"/>
      <c r="AK17" s="100"/>
      <c r="AL17" s="80"/>
      <c r="AM17" s="99"/>
      <c r="AN17" s="99"/>
      <c r="AO17" s="99"/>
      <c r="AP17" s="99"/>
      <c r="AQ17" s="100"/>
      <c r="AR17" s="80"/>
      <c r="AS17" s="99"/>
      <c r="AT17" s="99"/>
      <c r="AU17" s="99"/>
      <c r="AV17" s="99"/>
      <c r="AW17" s="100"/>
      <c r="AX17" s="101">
        <v>91.666666666666671</v>
      </c>
      <c r="AY17" s="102">
        <v>60.714285714285715</v>
      </c>
      <c r="AZ17" s="103"/>
      <c r="BA17" s="102">
        <v>40.909090909090907</v>
      </c>
      <c r="BB17" s="103"/>
      <c r="BC17" s="104"/>
    </row>
    <row r="18" spans="1:55">
      <c r="A18" s="90" t="s">
        <v>443</v>
      </c>
      <c r="B18" s="91">
        <v>73.80952380952381</v>
      </c>
      <c r="C18" s="92">
        <v>70.39473684210526</v>
      </c>
      <c r="D18" s="92"/>
      <c r="E18" s="92"/>
      <c r="F18" s="92"/>
      <c r="G18" s="93"/>
      <c r="H18" s="94"/>
      <c r="I18" s="92"/>
      <c r="J18" s="92"/>
      <c r="K18" s="92"/>
      <c r="L18" s="92"/>
      <c r="M18" s="93"/>
      <c r="N18" s="94"/>
      <c r="O18" s="92"/>
      <c r="P18" s="92"/>
      <c r="Q18" s="95"/>
      <c r="R18" s="92"/>
      <c r="S18" s="93"/>
      <c r="T18" s="94">
        <v>73.80952380952381</v>
      </c>
      <c r="U18" s="92">
        <v>70.39473684210526</v>
      </c>
      <c r="V18" s="92"/>
      <c r="W18" s="95"/>
      <c r="X18" s="95"/>
      <c r="Y18" s="96"/>
      <c r="Z18" s="97"/>
      <c r="AA18" s="98"/>
      <c r="AB18" s="99"/>
      <c r="AC18" s="99"/>
      <c r="AD18" s="99"/>
      <c r="AE18" s="100"/>
      <c r="AF18" s="97"/>
      <c r="AG18" s="98"/>
      <c r="AH18" s="99"/>
      <c r="AI18" s="99"/>
      <c r="AJ18" s="99"/>
      <c r="AK18" s="100"/>
      <c r="AL18" s="80"/>
      <c r="AM18" s="99"/>
      <c r="AN18" s="99"/>
      <c r="AO18" s="99"/>
      <c r="AP18" s="99"/>
      <c r="AQ18" s="100"/>
      <c r="AR18" s="80"/>
      <c r="AS18" s="99"/>
      <c r="AT18" s="99"/>
      <c r="AU18" s="99"/>
      <c r="AV18" s="99"/>
      <c r="AW18" s="100"/>
      <c r="AX18" s="101"/>
      <c r="AY18" s="102"/>
      <c r="AZ18" s="103"/>
      <c r="BA18" s="102"/>
      <c r="BB18" s="103"/>
      <c r="BC18" s="104"/>
    </row>
    <row r="19" spans="1:55">
      <c r="A19" s="90" t="s">
        <v>120</v>
      </c>
      <c r="B19" s="91">
        <v>73.170731707317074</v>
      </c>
      <c r="C19" s="92">
        <v>75.714285714285708</v>
      </c>
      <c r="D19" s="92">
        <v>80.487804878048777</v>
      </c>
      <c r="E19" s="92"/>
      <c r="F19" s="92"/>
      <c r="G19" s="93"/>
      <c r="H19" s="94">
        <v>73.170731707317074</v>
      </c>
      <c r="I19" s="92">
        <v>75.714285714285708</v>
      </c>
      <c r="J19" s="92">
        <v>80.487804878048777</v>
      </c>
      <c r="K19" s="92"/>
      <c r="L19" s="92"/>
      <c r="M19" s="93"/>
      <c r="N19" s="94"/>
      <c r="O19" s="92"/>
      <c r="P19" s="92"/>
      <c r="Q19" s="95"/>
      <c r="R19" s="92"/>
      <c r="S19" s="93"/>
      <c r="T19" s="94"/>
      <c r="U19" s="92"/>
      <c r="V19" s="92"/>
      <c r="W19" s="95"/>
      <c r="X19" s="95"/>
      <c r="Y19" s="96"/>
      <c r="Z19" s="97">
        <v>79.824561403508767</v>
      </c>
      <c r="AA19" s="98"/>
      <c r="AB19" s="99"/>
      <c r="AC19" s="99"/>
      <c r="AD19" s="99"/>
      <c r="AE19" s="100"/>
      <c r="AF19" s="97">
        <v>79.824561403508767</v>
      </c>
      <c r="AG19" s="98"/>
      <c r="AH19" s="99"/>
      <c r="AI19" s="99"/>
      <c r="AJ19" s="99"/>
      <c r="AK19" s="100"/>
      <c r="AL19" s="80"/>
      <c r="AM19" s="99"/>
      <c r="AN19" s="99"/>
      <c r="AO19" s="99"/>
      <c r="AP19" s="99"/>
      <c r="AQ19" s="100"/>
      <c r="AR19" s="80"/>
      <c r="AS19" s="99"/>
      <c r="AT19" s="99"/>
      <c r="AU19" s="99"/>
      <c r="AV19" s="99"/>
      <c r="AW19" s="100"/>
      <c r="AX19" s="101"/>
      <c r="AY19" s="102"/>
      <c r="AZ19" s="103"/>
      <c r="BA19" s="102"/>
      <c r="BB19" s="103"/>
      <c r="BC19" s="104"/>
    </row>
    <row r="20" spans="1:55">
      <c r="A20" s="90" t="s">
        <v>118</v>
      </c>
      <c r="B20" s="91">
        <v>72.622699386503072</v>
      </c>
      <c r="C20" s="92">
        <v>73.4375</v>
      </c>
      <c r="D20" s="92">
        <v>80.120481927710841</v>
      </c>
      <c r="E20" s="92">
        <v>84.027777777777771</v>
      </c>
      <c r="F20" s="92"/>
      <c r="G20" s="93"/>
      <c r="H20" s="94">
        <v>75.516528925619838</v>
      </c>
      <c r="I20" s="92">
        <v>89.240506329113927</v>
      </c>
      <c r="J20" s="92">
        <v>80.120481927710841</v>
      </c>
      <c r="K20" s="92">
        <v>84.027777777777771</v>
      </c>
      <c r="L20" s="92"/>
      <c r="M20" s="93"/>
      <c r="N20" s="94"/>
      <c r="O20" s="92"/>
      <c r="P20" s="92"/>
      <c r="Q20" s="95"/>
      <c r="R20" s="92"/>
      <c r="S20" s="93"/>
      <c r="T20" s="94">
        <v>64.285714285714292</v>
      </c>
      <c r="U20" s="92">
        <v>58.02469135802469</v>
      </c>
      <c r="V20" s="92"/>
      <c r="W20" s="95"/>
      <c r="X20" s="95"/>
      <c r="Y20" s="96"/>
      <c r="Z20" s="97">
        <v>80.840707964601762</v>
      </c>
      <c r="AA20" s="98">
        <v>96.428571428571431</v>
      </c>
      <c r="AB20" s="99"/>
      <c r="AC20" s="99"/>
      <c r="AD20" s="99"/>
      <c r="AE20" s="100"/>
      <c r="AF20" s="97">
        <v>80.840707964601762</v>
      </c>
      <c r="AG20" s="98">
        <v>96.428571428571431</v>
      </c>
      <c r="AH20" s="99"/>
      <c r="AI20" s="99"/>
      <c r="AJ20" s="99"/>
      <c r="AK20" s="100"/>
      <c r="AL20" s="80"/>
      <c r="AM20" s="99"/>
      <c r="AN20" s="99"/>
      <c r="AO20" s="99"/>
      <c r="AP20" s="99"/>
      <c r="AQ20" s="100"/>
      <c r="AR20" s="80"/>
      <c r="AS20" s="99"/>
      <c r="AT20" s="99"/>
      <c r="AU20" s="99"/>
      <c r="AV20" s="99"/>
      <c r="AW20" s="100"/>
      <c r="AX20" s="101"/>
      <c r="AY20" s="102"/>
      <c r="AZ20" s="103"/>
      <c r="BA20" s="102"/>
      <c r="BB20" s="103"/>
      <c r="BC20" s="104"/>
    </row>
    <row r="21" spans="1:55">
      <c r="A21" s="90" t="s">
        <v>444</v>
      </c>
      <c r="B21" s="91">
        <v>72.540983606557376</v>
      </c>
      <c r="C21" s="92">
        <v>28.378378378378379</v>
      </c>
      <c r="D21" s="92"/>
      <c r="E21" s="92"/>
      <c r="F21" s="92"/>
      <c r="G21" s="93"/>
      <c r="H21" s="94"/>
      <c r="I21" s="92"/>
      <c r="J21" s="92"/>
      <c r="K21" s="92"/>
      <c r="L21" s="92"/>
      <c r="M21" s="93"/>
      <c r="N21" s="94">
        <v>72.540983606557376</v>
      </c>
      <c r="O21" s="92">
        <v>28.378378378378379</v>
      </c>
      <c r="P21" s="92"/>
      <c r="Q21" s="95"/>
      <c r="R21" s="92"/>
      <c r="S21" s="93"/>
      <c r="T21" s="94"/>
      <c r="U21" s="92"/>
      <c r="V21" s="92"/>
      <c r="W21" s="95"/>
      <c r="X21" s="95"/>
      <c r="Y21" s="96"/>
      <c r="Z21" s="97"/>
      <c r="AA21" s="98"/>
      <c r="AB21" s="99"/>
      <c r="AC21" s="99"/>
      <c r="AD21" s="99"/>
      <c r="AE21" s="100"/>
      <c r="AF21" s="97"/>
      <c r="AG21" s="98"/>
      <c r="AH21" s="99"/>
      <c r="AI21" s="99"/>
      <c r="AJ21" s="99"/>
      <c r="AK21" s="100"/>
      <c r="AL21" s="80"/>
      <c r="AM21" s="99"/>
      <c r="AN21" s="99"/>
      <c r="AO21" s="99"/>
      <c r="AP21" s="99"/>
      <c r="AQ21" s="100"/>
      <c r="AR21" s="80"/>
      <c r="AS21" s="99"/>
      <c r="AT21" s="99"/>
      <c r="AU21" s="99"/>
      <c r="AV21" s="99"/>
      <c r="AW21" s="100"/>
      <c r="AX21" s="101"/>
      <c r="AY21" s="102"/>
      <c r="AZ21" s="103"/>
      <c r="BA21" s="102"/>
      <c r="BB21" s="103"/>
      <c r="BC21" s="104"/>
    </row>
    <row r="22" spans="1:55">
      <c r="A22" s="90" t="s">
        <v>445</v>
      </c>
      <c r="B22" s="91">
        <v>72.34375</v>
      </c>
      <c r="C22" s="92">
        <v>63.157894736842103</v>
      </c>
      <c r="D22" s="92"/>
      <c r="E22" s="92"/>
      <c r="F22" s="92"/>
      <c r="G22" s="93"/>
      <c r="H22" s="94"/>
      <c r="I22" s="92"/>
      <c r="J22" s="92"/>
      <c r="K22" s="92"/>
      <c r="L22" s="92"/>
      <c r="M22" s="93"/>
      <c r="N22" s="94">
        <v>70.378151260504197</v>
      </c>
      <c r="O22" s="92">
        <v>66.666666666666671</v>
      </c>
      <c r="P22" s="92"/>
      <c r="Q22" s="95"/>
      <c r="R22" s="92"/>
      <c r="S22" s="93"/>
      <c r="T22" s="94">
        <v>78.048780487804876</v>
      </c>
      <c r="U22" s="92">
        <v>60</v>
      </c>
      <c r="V22" s="92"/>
      <c r="W22" s="95"/>
      <c r="X22" s="95"/>
      <c r="Y22" s="96"/>
      <c r="Z22" s="97"/>
      <c r="AA22" s="98"/>
      <c r="AB22" s="99"/>
      <c r="AC22" s="99"/>
      <c r="AD22" s="99"/>
      <c r="AE22" s="100"/>
      <c r="AF22" s="97"/>
      <c r="AG22" s="98"/>
      <c r="AH22" s="99"/>
      <c r="AI22" s="99"/>
      <c r="AJ22" s="99"/>
      <c r="AK22" s="100"/>
      <c r="AL22" s="80"/>
      <c r="AM22" s="99"/>
      <c r="AN22" s="99"/>
      <c r="AO22" s="99"/>
      <c r="AP22" s="99"/>
      <c r="AQ22" s="100"/>
      <c r="AR22" s="80"/>
      <c r="AS22" s="99"/>
      <c r="AT22" s="99"/>
      <c r="AU22" s="99"/>
      <c r="AV22" s="99"/>
      <c r="AW22" s="100"/>
      <c r="AX22" s="101"/>
      <c r="AY22" s="102"/>
      <c r="AZ22" s="103"/>
      <c r="BA22" s="102"/>
      <c r="BB22" s="103"/>
      <c r="BC22" s="104"/>
    </row>
    <row r="23" spans="1:55">
      <c r="A23" s="90" t="s">
        <v>446</v>
      </c>
      <c r="B23" s="91">
        <v>71.509433962264154</v>
      </c>
      <c r="C23" s="92">
        <v>59.122983870967744</v>
      </c>
      <c r="D23" s="92">
        <v>66.77215189873418</v>
      </c>
      <c r="E23" s="92">
        <v>86.614173228346459</v>
      </c>
      <c r="F23" s="92"/>
      <c r="G23" s="93"/>
      <c r="H23" s="94">
        <v>78.251445086705203</v>
      </c>
      <c r="I23" s="92">
        <v>57.5</v>
      </c>
      <c r="J23" s="92">
        <v>66.77215189873418</v>
      </c>
      <c r="K23" s="92">
        <v>86.614173228346459</v>
      </c>
      <c r="L23" s="92"/>
      <c r="M23" s="93"/>
      <c r="N23" s="94">
        <v>72.096188747731404</v>
      </c>
      <c r="O23" s="92">
        <v>55.585106382978722</v>
      </c>
      <c r="P23" s="92"/>
      <c r="Q23" s="95"/>
      <c r="R23" s="92"/>
      <c r="S23" s="93"/>
      <c r="T23" s="94">
        <v>55.214723926380366</v>
      </c>
      <c r="U23" s="92">
        <v>64.87341772151899</v>
      </c>
      <c r="V23" s="92"/>
      <c r="W23" s="95"/>
      <c r="X23" s="95"/>
      <c r="Y23" s="96"/>
      <c r="Z23" s="97">
        <v>38.384615384615387</v>
      </c>
      <c r="AA23" s="98">
        <v>58.456790123456791</v>
      </c>
      <c r="AB23" s="99"/>
      <c r="AC23" s="99"/>
      <c r="AD23" s="99"/>
      <c r="AE23" s="100"/>
      <c r="AF23" s="97">
        <v>38.384615384615387</v>
      </c>
      <c r="AG23" s="98">
        <v>58.456790123456791</v>
      </c>
      <c r="AH23" s="99"/>
      <c r="AI23" s="99"/>
      <c r="AJ23" s="99"/>
      <c r="AK23" s="100"/>
      <c r="AL23" s="80"/>
      <c r="AM23" s="99"/>
      <c r="AN23" s="99"/>
      <c r="AO23" s="99"/>
      <c r="AP23" s="99"/>
      <c r="AQ23" s="100"/>
      <c r="AR23" s="80"/>
      <c r="AS23" s="99"/>
      <c r="AT23" s="99"/>
      <c r="AU23" s="99"/>
      <c r="AV23" s="99"/>
      <c r="AW23" s="100"/>
      <c r="AX23" s="101">
        <v>68.103448275862064</v>
      </c>
      <c r="AY23" s="102">
        <v>78.222222222222229</v>
      </c>
      <c r="AZ23" s="103"/>
      <c r="BA23" s="102">
        <v>68.468468468468473</v>
      </c>
      <c r="BB23" s="103"/>
      <c r="BC23" s="104"/>
    </row>
    <row r="24" spans="1:55">
      <c r="A24" s="90" t="s">
        <v>447</v>
      </c>
      <c r="B24" s="91">
        <v>70.270270270270274</v>
      </c>
      <c r="C24" s="92">
        <v>21.212121212121211</v>
      </c>
      <c r="D24" s="92"/>
      <c r="E24" s="92"/>
      <c r="F24" s="92"/>
      <c r="G24" s="93"/>
      <c r="H24" s="94"/>
      <c r="I24" s="92"/>
      <c r="J24" s="92"/>
      <c r="K24" s="92"/>
      <c r="L24" s="92"/>
      <c r="M24" s="93"/>
      <c r="N24" s="94"/>
      <c r="O24" s="92"/>
      <c r="P24" s="92"/>
      <c r="Q24" s="95"/>
      <c r="R24" s="92"/>
      <c r="S24" s="93"/>
      <c r="T24" s="94">
        <v>70.270270270270274</v>
      </c>
      <c r="U24" s="92">
        <v>21.212121212121211</v>
      </c>
      <c r="V24" s="92"/>
      <c r="W24" s="95"/>
      <c r="X24" s="95"/>
      <c r="Y24" s="96"/>
      <c r="Z24" s="97"/>
      <c r="AA24" s="98"/>
      <c r="AB24" s="99"/>
      <c r="AC24" s="99"/>
      <c r="AD24" s="99"/>
      <c r="AE24" s="100"/>
      <c r="AF24" s="97"/>
      <c r="AG24" s="98"/>
      <c r="AH24" s="99"/>
      <c r="AI24" s="99"/>
      <c r="AJ24" s="99"/>
      <c r="AK24" s="100"/>
      <c r="AL24" s="80"/>
      <c r="AM24" s="99"/>
      <c r="AN24" s="99"/>
      <c r="AO24" s="99"/>
      <c r="AP24" s="99"/>
      <c r="AQ24" s="100"/>
      <c r="AR24" s="80"/>
      <c r="AS24" s="99"/>
      <c r="AT24" s="99"/>
      <c r="AU24" s="99"/>
      <c r="AV24" s="99"/>
      <c r="AW24" s="100"/>
      <c r="AX24" s="101"/>
      <c r="AY24" s="102"/>
      <c r="AZ24" s="103"/>
      <c r="BA24" s="102"/>
      <c r="BB24" s="103"/>
      <c r="BC24" s="104"/>
    </row>
    <row r="25" spans="1:55">
      <c r="A25" s="90" t="s">
        <v>115</v>
      </c>
      <c r="B25" s="91">
        <v>69.334277620396605</v>
      </c>
      <c r="C25" s="92">
        <v>72.005571030640667</v>
      </c>
      <c r="D25" s="92">
        <v>76.884422110552762</v>
      </c>
      <c r="E25" s="92">
        <v>82.352941176470594</v>
      </c>
      <c r="F25" s="92"/>
      <c r="G25" s="93"/>
      <c r="H25" s="94">
        <v>74.728260869565219</v>
      </c>
      <c r="I25" s="92">
        <v>72.448979591836732</v>
      </c>
      <c r="J25" s="92">
        <v>76.5625</v>
      </c>
      <c r="K25" s="92">
        <v>82.352941176470594</v>
      </c>
      <c r="L25" s="92"/>
      <c r="M25" s="93"/>
      <c r="N25" s="94">
        <v>67.996453900709213</v>
      </c>
      <c r="O25" s="92">
        <v>69.318181818181813</v>
      </c>
      <c r="P25" s="92">
        <v>78.205128205128204</v>
      </c>
      <c r="Q25" s="95"/>
      <c r="R25" s="92"/>
      <c r="S25" s="93"/>
      <c r="T25" s="94">
        <v>20</v>
      </c>
      <c r="U25" s="92">
        <v>83.333333333333329</v>
      </c>
      <c r="V25" s="92"/>
      <c r="W25" s="95"/>
      <c r="X25" s="95"/>
      <c r="Y25" s="96"/>
      <c r="Z25" s="97">
        <v>52.533333333333331</v>
      </c>
      <c r="AA25" s="98"/>
      <c r="AB25" s="99"/>
      <c r="AC25" s="99"/>
      <c r="AD25" s="99"/>
      <c r="AE25" s="100"/>
      <c r="AF25" s="97">
        <v>52.533333333333331</v>
      </c>
      <c r="AG25" s="98"/>
      <c r="AH25" s="99"/>
      <c r="AI25" s="99"/>
      <c r="AJ25" s="99"/>
      <c r="AK25" s="100"/>
      <c r="AL25" s="80"/>
      <c r="AM25" s="99"/>
      <c r="AN25" s="99"/>
      <c r="AO25" s="99"/>
      <c r="AP25" s="99"/>
      <c r="AQ25" s="100"/>
      <c r="AR25" s="80"/>
      <c r="AS25" s="99"/>
      <c r="AT25" s="99"/>
      <c r="AU25" s="99"/>
      <c r="AV25" s="99"/>
      <c r="AW25" s="100"/>
      <c r="AX25" s="101"/>
      <c r="AY25" s="102">
        <v>69.406392694063925</v>
      </c>
      <c r="AZ25" s="103"/>
      <c r="BA25" s="102">
        <v>75.925925925925924</v>
      </c>
      <c r="BB25" s="103"/>
      <c r="BC25" s="104"/>
    </row>
    <row r="26" spans="1:55">
      <c r="A26" s="90" t="s">
        <v>448</v>
      </c>
      <c r="B26" s="91">
        <v>68.081761006289312</v>
      </c>
      <c r="C26" s="92">
        <v>70.833333333333329</v>
      </c>
      <c r="D26" s="92"/>
      <c r="E26" s="92"/>
      <c r="F26" s="92"/>
      <c r="G26" s="93"/>
      <c r="H26" s="94"/>
      <c r="I26" s="92"/>
      <c r="J26" s="92"/>
      <c r="K26" s="92"/>
      <c r="L26" s="92"/>
      <c r="M26" s="93"/>
      <c r="N26" s="94">
        <v>67.521367521367523</v>
      </c>
      <c r="O26" s="92">
        <v>79.729729729729726</v>
      </c>
      <c r="P26" s="92"/>
      <c r="Q26" s="95"/>
      <c r="R26" s="92"/>
      <c r="S26" s="93"/>
      <c r="T26" s="94">
        <v>69.642857142857139</v>
      </c>
      <c r="U26" s="92">
        <v>66.558441558441558</v>
      </c>
      <c r="V26" s="92"/>
      <c r="W26" s="95"/>
      <c r="X26" s="95"/>
      <c r="Y26" s="96"/>
      <c r="Z26" s="97"/>
      <c r="AA26" s="98"/>
      <c r="AB26" s="99"/>
      <c r="AC26" s="99"/>
      <c r="AD26" s="99"/>
      <c r="AE26" s="100"/>
      <c r="AF26" s="97"/>
      <c r="AG26" s="98"/>
      <c r="AH26" s="99"/>
      <c r="AI26" s="99"/>
      <c r="AJ26" s="99"/>
      <c r="AK26" s="100"/>
      <c r="AL26" s="80"/>
      <c r="AM26" s="99"/>
      <c r="AN26" s="99"/>
      <c r="AO26" s="99"/>
      <c r="AP26" s="99"/>
      <c r="AQ26" s="100"/>
      <c r="AR26" s="80"/>
      <c r="AS26" s="99"/>
      <c r="AT26" s="99"/>
      <c r="AU26" s="99"/>
      <c r="AV26" s="99"/>
      <c r="AW26" s="100"/>
      <c r="AX26" s="101"/>
      <c r="AY26" s="102"/>
      <c r="AZ26" s="103"/>
      <c r="BA26" s="102"/>
      <c r="BB26" s="103"/>
      <c r="BC26" s="104"/>
    </row>
    <row r="27" spans="1:55">
      <c r="A27" s="90" t="s">
        <v>119</v>
      </c>
      <c r="B27" s="91">
        <v>66.950261780104711</v>
      </c>
      <c r="C27" s="92">
        <v>64.850427350427353</v>
      </c>
      <c r="D27" s="92">
        <v>60.714285714285715</v>
      </c>
      <c r="E27" s="92">
        <v>86.619718309859152</v>
      </c>
      <c r="F27" s="92"/>
      <c r="G27" s="93"/>
      <c r="H27" s="94">
        <v>73.140495867768593</v>
      </c>
      <c r="I27" s="92">
        <v>57.638888888888886</v>
      </c>
      <c r="J27" s="92">
        <v>60.714285714285715</v>
      </c>
      <c r="K27" s="92">
        <v>86.619718309859152</v>
      </c>
      <c r="L27" s="92"/>
      <c r="M27" s="93"/>
      <c r="N27" s="94">
        <v>66.13636363636364</v>
      </c>
      <c r="O27" s="92">
        <v>73.695652173913047</v>
      </c>
      <c r="P27" s="92"/>
      <c r="Q27" s="95"/>
      <c r="R27" s="92"/>
      <c r="S27" s="93"/>
      <c r="T27" s="94">
        <v>53.048780487804876</v>
      </c>
      <c r="U27" s="92">
        <v>55.722891566265062</v>
      </c>
      <c r="V27" s="92"/>
      <c r="W27" s="95"/>
      <c r="X27" s="95"/>
      <c r="Y27" s="96"/>
      <c r="Z27" s="97">
        <v>69.568965517241381</v>
      </c>
      <c r="AA27" s="98">
        <v>0</v>
      </c>
      <c r="AB27" s="99"/>
      <c r="AC27" s="99"/>
      <c r="AD27" s="99"/>
      <c r="AE27" s="100"/>
      <c r="AF27" s="97">
        <v>69.568965517241381</v>
      </c>
      <c r="AG27" s="98">
        <v>0</v>
      </c>
      <c r="AH27" s="99"/>
      <c r="AI27" s="99"/>
      <c r="AJ27" s="99"/>
      <c r="AK27" s="100"/>
      <c r="AL27" s="80"/>
      <c r="AM27" s="99"/>
      <c r="AN27" s="99"/>
      <c r="AO27" s="99"/>
      <c r="AP27" s="99"/>
      <c r="AQ27" s="100"/>
      <c r="AR27" s="80"/>
      <c r="AS27" s="99"/>
      <c r="AT27" s="99"/>
      <c r="AU27" s="99"/>
      <c r="AV27" s="99"/>
      <c r="AW27" s="100"/>
      <c r="AX27" s="101">
        <v>58.333333333333336</v>
      </c>
      <c r="AY27" s="102">
        <v>78.260869565217391</v>
      </c>
      <c r="AZ27" s="103"/>
      <c r="BA27" s="102">
        <v>65.217391304347828</v>
      </c>
      <c r="BB27" s="103"/>
      <c r="BC27" s="104"/>
    </row>
    <row r="28" spans="1:55">
      <c r="A28" s="90" t="s">
        <v>133</v>
      </c>
      <c r="B28" s="91">
        <v>66.695011337868479</v>
      </c>
      <c r="C28" s="92">
        <v>71.17647058823529</v>
      </c>
      <c r="D28" s="92">
        <v>76.829268292682926</v>
      </c>
      <c r="E28" s="92">
        <v>83.944954128440372</v>
      </c>
      <c r="F28" s="92"/>
      <c r="G28" s="93"/>
      <c r="H28" s="94">
        <v>77.551020408163268</v>
      </c>
      <c r="I28" s="92">
        <v>74.324324324324323</v>
      </c>
      <c r="J28" s="92">
        <v>76.829268292682926</v>
      </c>
      <c r="K28" s="92">
        <v>83.944954128440372</v>
      </c>
      <c r="L28" s="92"/>
      <c r="M28" s="93"/>
      <c r="N28" s="94">
        <v>64.14858096828047</v>
      </c>
      <c r="O28" s="92">
        <v>75.13297872340425</v>
      </c>
      <c r="P28" s="92"/>
      <c r="Q28" s="95"/>
      <c r="R28" s="92"/>
      <c r="S28" s="93"/>
      <c r="T28" s="94">
        <v>36.842105263157897</v>
      </c>
      <c r="U28" s="92">
        <v>58.653846153846153</v>
      </c>
      <c r="V28" s="92"/>
      <c r="W28" s="95"/>
      <c r="X28" s="95"/>
      <c r="Y28" s="96"/>
      <c r="Z28" s="97">
        <v>78.813559322033896</v>
      </c>
      <c r="AA28" s="98">
        <v>80.357142857142861</v>
      </c>
      <c r="AB28" s="99"/>
      <c r="AC28" s="99"/>
      <c r="AD28" s="99"/>
      <c r="AE28" s="100"/>
      <c r="AF28" s="97">
        <v>78.813559322033896</v>
      </c>
      <c r="AG28" s="98">
        <v>80.357142857142861</v>
      </c>
      <c r="AH28" s="99"/>
      <c r="AI28" s="99"/>
      <c r="AJ28" s="99"/>
      <c r="AK28" s="100"/>
      <c r="AL28" s="80"/>
      <c r="AM28" s="99"/>
      <c r="AN28" s="99"/>
      <c r="AO28" s="99"/>
      <c r="AP28" s="99"/>
      <c r="AQ28" s="100"/>
      <c r="AR28" s="80"/>
      <c r="AS28" s="99"/>
      <c r="AT28" s="99"/>
      <c r="AU28" s="99"/>
      <c r="AV28" s="99"/>
      <c r="AW28" s="100"/>
      <c r="AX28" s="101">
        <v>61.36363636363636</v>
      </c>
      <c r="AY28" s="102">
        <v>55.952380952380949</v>
      </c>
      <c r="AZ28" s="103"/>
      <c r="BA28" s="102">
        <v>74.324324324324323</v>
      </c>
      <c r="BB28" s="103"/>
      <c r="BC28" s="104"/>
    </row>
    <row r="29" spans="1:55">
      <c r="A29" s="90" t="s">
        <v>132</v>
      </c>
      <c r="B29" s="91">
        <v>61.376096491228068</v>
      </c>
      <c r="C29" s="92">
        <v>63.283208020050125</v>
      </c>
      <c r="D29" s="92">
        <v>58.666666666666664</v>
      </c>
      <c r="E29" s="92">
        <v>84.027777777777771</v>
      </c>
      <c r="F29" s="92"/>
      <c r="G29" s="93"/>
      <c r="H29" s="94">
        <v>64.130434782608688</v>
      </c>
      <c r="I29" s="92">
        <v>73.412698412698418</v>
      </c>
      <c r="J29" s="92">
        <v>58.666666666666664</v>
      </c>
      <c r="K29" s="92">
        <v>84.027777777777771</v>
      </c>
      <c r="L29" s="92"/>
      <c r="M29" s="93"/>
      <c r="N29" s="94">
        <v>59.44108761329305</v>
      </c>
      <c r="O29" s="92">
        <v>54.166666666666664</v>
      </c>
      <c r="P29" s="92"/>
      <c r="Q29" s="95"/>
      <c r="R29" s="92"/>
      <c r="S29" s="93"/>
      <c r="T29" s="94">
        <v>51.333333333333336</v>
      </c>
      <c r="U29" s="92">
        <v>54.166666666666664</v>
      </c>
      <c r="V29" s="92"/>
      <c r="W29" s="95"/>
      <c r="X29" s="95"/>
      <c r="Y29" s="96"/>
      <c r="Z29" s="97">
        <v>17.123287671232877</v>
      </c>
      <c r="AA29" s="98">
        <v>72.41379310344827</v>
      </c>
      <c r="AB29" s="99"/>
      <c r="AC29" s="99"/>
      <c r="AD29" s="99"/>
      <c r="AE29" s="100"/>
      <c r="AF29" s="97">
        <v>17.123287671232877</v>
      </c>
      <c r="AG29" s="98">
        <v>72.41379310344827</v>
      </c>
      <c r="AH29" s="99"/>
      <c r="AI29" s="99"/>
      <c r="AJ29" s="99"/>
      <c r="AK29" s="100"/>
      <c r="AL29" s="80"/>
      <c r="AM29" s="99"/>
      <c r="AN29" s="99"/>
      <c r="AO29" s="99"/>
      <c r="AP29" s="99"/>
      <c r="AQ29" s="100"/>
      <c r="AR29" s="80"/>
      <c r="AS29" s="99"/>
      <c r="AT29" s="99"/>
      <c r="AU29" s="99"/>
      <c r="AV29" s="99"/>
      <c r="AW29" s="100"/>
      <c r="AX29" s="101">
        <v>61.53846153846154</v>
      </c>
      <c r="AY29" s="102">
        <v>55.555555555555557</v>
      </c>
      <c r="AZ29" s="103"/>
      <c r="BA29" s="102">
        <v>66.509433962264154</v>
      </c>
      <c r="BB29" s="103"/>
      <c r="BC29" s="104"/>
    </row>
    <row r="30" spans="1:55">
      <c r="A30" s="90" t="s">
        <v>449</v>
      </c>
      <c r="B30" s="91">
        <v>60.664335664335667</v>
      </c>
      <c r="C30" s="92">
        <v>76.428571428571431</v>
      </c>
      <c r="D30" s="92"/>
      <c r="E30" s="92"/>
      <c r="F30" s="92"/>
      <c r="G30" s="93"/>
      <c r="H30" s="94">
        <v>68.023255813953483</v>
      </c>
      <c r="I30" s="92"/>
      <c r="J30" s="92"/>
      <c r="K30" s="92"/>
      <c r="L30" s="92"/>
      <c r="M30" s="93"/>
      <c r="N30" s="94">
        <v>48.464912280701753</v>
      </c>
      <c r="O30" s="92">
        <v>95</v>
      </c>
      <c r="P30" s="92"/>
      <c r="Q30" s="95"/>
      <c r="R30" s="92"/>
      <c r="S30" s="93"/>
      <c r="T30" s="94">
        <v>64.61397058823529</v>
      </c>
      <c r="U30" s="92">
        <v>73.727272727272734</v>
      </c>
      <c r="V30" s="92"/>
      <c r="W30" s="95"/>
      <c r="X30" s="95"/>
      <c r="Y30" s="96"/>
      <c r="Z30" s="97"/>
      <c r="AA30" s="98"/>
      <c r="AB30" s="99"/>
      <c r="AC30" s="99"/>
      <c r="AD30" s="99"/>
      <c r="AE30" s="100"/>
      <c r="AF30" s="97"/>
      <c r="AG30" s="98"/>
      <c r="AH30" s="99"/>
      <c r="AI30" s="99"/>
      <c r="AJ30" s="99"/>
      <c r="AK30" s="100"/>
      <c r="AL30" s="80"/>
      <c r="AM30" s="99"/>
      <c r="AN30" s="99"/>
      <c r="AO30" s="99"/>
      <c r="AP30" s="99"/>
      <c r="AQ30" s="100"/>
      <c r="AR30" s="80"/>
      <c r="AS30" s="99"/>
      <c r="AT30" s="99"/>
      <c r="AU30" s="99"/>
      <c r="AV30" s="99"/>
      <c r="AW30" s="100"/>
      <c r="AX30" s="101">
        <v>38.636363636363633</v>
      </c>
      <c r="AY30" s="102">
        <v>75</v>
      </c>
      <c r="AZ30" s="103"/>
      <c r="BA30" s="102">
        <v>68.181818181818187</v>
      </c>
      <c r="BB30" s="103"/>
      <c r="BC30" s="104"/>
    </row>
    <row r="31" spans="1:55">
      <c r="A31" s="90" t="s">
        <v>450</v>
      </c>
      <c r="B31" s="91">
        <v>57.94701986754967</v>
      </c>
      <c r="C31" s="92">
        <v>78.048780487804876</v>
      </c>
      <c r="D31" s="92"/>
      <c r="E31" s="92"/>
      <c r="F31" s="92"/>
      <c r="G31" s="93"/>
      <c r="H31" s="94"/>
      <c r="I31" s="92"/>
      <c r="J31" s="92"/>
      <c r="K31" s="92"/>
      <c r="L31" s="92"/>
      <c r="M31" s="93"/>
      <c r="N31" s="94">
        <v>55.405405405405403</v>
      </c>
      <c r="O31" s="92">
        <v>80.952380952380949</v>
      </c>
      <c r="P31" s="92"/>
      <c r="Q31" s="95"/>
      <c r="R31" s="92"/>
      <c r="S31" s="93"/>
      <c r="T31" s="94">
        <v>65</v>
      </c>
      <c r="U31" s="92">
        <v>75</v>
      </c>
      <c r="V31" s="92"/>
      <c r="W31" s="95"/>
      <c r="X31" s="95"/>
      <c r="Y31" s="96"/>
      <c r="Z31" s="97"/>
      <c r="AA31" s="98"/>
      <c r="AB31" s="99"/>
      <c r="AC31" s="99"/>
      <c r="AD31" s="99"/>
      <c r="AE31" s="100"/>
      <c r="AF31" s="97"/>
      <c r="AG31" s="98"/>
      <c r="AH31" s="99"/>
      <c r="AI31" s="99"/>
      <c r="AJ31" s="99"/>
      <c r="AK31" s="100"/>
      <c r="AL31" s="80"/>
      <c r="AM31" s="99"/>
      <c r="AN31" s="99"/>
      <c r="AO31" s="99"/>
      <c r="AP31" s="99"/>
      <c r="AQ31" s="100"/>
      <c r="AR31" s="80"/>
      <c r="AS31" s="99"/>
      <c r="AT31" s="99"/>
      <c r="AU31" s="99"/>
      <c r="AV31" s="99"/>
      <c r="AW31" s="100"/>
      <c r="AX31" s="101"/>
      <c r="AY31" s="102"/>
      <c r="AZ31" s="103"/>
      <c r="BA31" s="102"/>
      <c r="BB31" s="103"/>
      <c r="BC31" s="104"/>
    </row>
    <row r="32" spans="1:55">
      <c r="A32" s="90" t="s">
        <v>121</v>
      </c>
      <c r="B32" s="91">
        <v>57.468879668049794</v>
      </c>
      <c r="C32" s="92">
        <v>60.526315789473685</v>
      </c>
      <c r="D32" s="92">
        <v>64.197530864197532</v>
      </c>
      <c r="E32" s="92">
        <v>55</v>
      </c>
      <c r="F32" s="92"/>
      <c r="G32" s="93"/>
      <c r="H32" s="94">
        <v>57.468879668049794</v>
      </c>
      <c r="I32" s="92">
        <v>60.526315789473685</v>
      </c>
      <c r="J32" s="92">
        <v>64.197530864197532</v>
      </c>
      <c r="K32" s="92">
        <v>55</v>
      </c>
      <c r="L32" s="92"/>
      <c r="M32" s="93"/>
      <c r="N32" s="94"/>
      <c r="O32" s="92"/>
      <c r="P32" s="92"/>
      <c r="Q32" s="95"/>
      <c r="R32" s="92"/>
      <c r="S32" s="93"/>
      <c r="T32" s="94"/>
      <c r="U32" s="92"/>
      <c r="V32" s="92"/>
      <c r="W32" s="95"/>
      <c r="X32" s="95"/>
      <c r="Y32" s="96"/>
      <c r="Z32" s="97">
        <v>3.0487804878048781</v>
      </c>
      <c r="AA32" s="98">
        <v>0</v>
      </c>
      <c r="AB32" s="99"/>
      <c r="AC32" s="99"/>
      <c r="AD32" s="99"/>
      <c r="AE32" s="100"/>
      <c r="AF32" s="97">
        <v>3.0487804878048781</v>
      </c>
      <c r="AG32" s="98">
        <v>0</v>
      </c>
      <c r="AH32" s="99"/>
      <c r="AI32" s="99"/>
      <c r="AJ32" s="99"/>
      <c r="AK32" s="100"/>
      <c r="AL32" s="80"/>
      <c r="AM32" s="99"/>
      <c r="AN32" s="99"/>
      <c r="AO32" s="99"/>
      <c r="AP32" s="99"/>
      <c r="AQ32" s="100"/>
      <c r="AR32" s="80"/>
      <c r="AS32" s="99"/>
      <c r="AT32" s="99"/>
      <c r="AU32" s="99"/>
      <c r="AV32" s="99"/>
      <c r="AW32" s="100"/>
      <c r="AX32" s="101">
        <v>47.297297297297298</v>
      </c>
      <c r="AY32" s="102">
        <v>57.882882882882882</v>
      </c>
      <c r="AZ32" s="103"/>
      <c r="BA32" s="102">
        <v>60.476190476190474</v>
      </c>
      <c r="BB32" s="103"/>
      <c r="BC32" s="104"/>
    </row>
    <row r="33" spans="1:55">
      <c r="A33" s="90" t="s">
        <v>451</v>
      </c>
      <c r="B33" s="91">
        <v>54.444444444444443</v>
      </c>
      <c r="C33" s="92">
        <v>72.727272727272734</v>
      </c>
      <c r="D33" s="92"/>
      <c r="E33" s="92"/>
      <c r="F33" s="92"/>
      <c r="G33" s="93"/>
      <c r="H33" s="94"/>
      <c r="I33" s="92"/>
      <c r="J33" s="92"/>
      <c r="K33" s="92"/>
      <c r="L33" s="92"/>
      <c r="M33" s="93"/>
      <c r="N33" s="94"/>
      <c r="O33" s="92"/>
      <c r="P33" s="92"/>
      <c r="Q33" s="95"/>
      <c r="R33" s="92"/>
      <c r="S33" s="93"/>
      <c r="T33" s="94">
        <v>54.444444444444443</v>
      </c>
      <c r="U33" s="92">
        <v>72.727272727272734</v>
      </c>
      <c r="V33" s="92"/>
      <c r="W33" s="95"/>
      <c r="X33" s="95"/>
      <c r="Y33" s="96"/>
      <c r="Z33" s="97"/>
      <c r="AA33" s="98"/>
      <c r="AB33" s="99"/>
      <c r="AC33" s="99"/>
      <c r="AD33" s="99"/>
      <c r="AE33" s="100"/>
      <c r="AF33" s="97"/>
      <c r="AG33" s="98"/>
      <c r="AH33" s="99"/>
      <c r="AI33" s="99"/>
      <c r="AJ33" s="99"/>
      <c r="AK33" s="100"/>
      <c r="AL33" s="80"/>
      <c r="AM33" s="99"/>
      <c r="AN33" s="99"/>
      <c r="AO33" s="99"/>
      <c r="AP33" s="99"/>
      <c r="AQ33" s="100"/>
      <c r="AR33" s="80"/>
      <c r="AS33" s="99"/>
      <c r="AT33" s="99"/>
      <c r="AU33" s="99"/>
      <c r="AV33" s="99"/>
      <c r="AW33" s="100"/>
      <c r="AX33" s="101"/>
      <c r="AY33" s="102"/>
      <c r="AZ33" s="103"/>
      <c r="BA33" s="102"/>
      <c r="BB33" s="103"/>
      <c r="BC33" s="104"/>
    </row>
    <row r="34" spans="1:55">
      <c r="A34" s="90" t="s">
        <v>452</v>
      </c>
      <c r="B34" s="91">
        <v>51.315789473684212</v>
      </c>
      <c r="C34" s="92">
        <v>63.851351351351354</v>
      </c>
      <c r="D34" s="92"/>
      <c r="E34" s="92"/>
      <c r="F34" s="92"/>
      <c r="G34" s="93"/>
      <c r="H34" s="94"/>
      <c r="I34" s="92"/>
      <c r="J34" s="92"/>
      <c r="K34" s="92"/>
      <c r="L34" s="92"/>
      <c r="M34" s="93"/>
      <c r="N34" s="94"/>
      <c r="O34" s="92"/>
      <c r="P34" s="92"/>
      <c r="Q34" s="95"/>
      <c r="R34" s="92"/>
      <c r="S34" s="93"/>
      <c r="T34" s="94">
        <v>51.315789473684212</v>
      </c>
      <c r="U34" s="92">
        <v>63.851351351351354</v>
      </c>
      <c r="V34" s="92"/>
      <c r="W34" s="95"/>
      <c r="X34" s="95"/>
      <c r="Y34" s="96"/>
      <c r="Z34" s="97"/>
      <c r="AA34" s="98"/>
      <c r="AB34" s="99"/>
      <c r="AC34" s="99"/>
      <c r="AD34" s="99"/>
      <c r="AE34" s="100"/>
      <c r="AF34" s="97"/>
      <c r="AG34" s="98"/>
      <c r="AH34" s="99"/>
      <c r="AI34" s="99"/>
      <c r="AJ34" s="99"/>
      <c r="AK34" s="100"/>
      <c r="AL34" s="80"/>
      <c r="AM34" s="99"/>
      <c r="AN34" s="99"/>
      <c r="AO34" s="99"/>
      <c r="AP34" s="99"/>
      <c r="AQ34" s="100"/>
      <c r="AR34" s="80"/>
      <c r="AS34" s="99"/>
      <c r="AT34" s="99"/>
      <c r="AU34" s="99"/>
      <c r="AV34" s="99"/>
      <c r="AW34" s="100"/>
      <c r="AX34" s="101"/>
      <c r="AY34" s="102"/>
      <c r="AZ34" s="103"/>
      <c r="BA34" s="102"/>
      <c r="BB34" s="103"/>
      <c r="BC34" s="104"/>
    </row>
    <row r="35" spans="1:55">
      <c r="A35" s="90" t="s">
        <v>453</v>
      </c>
      <c r="B35" s="91">
        <v>41.666666666666664</v>
      </c>
      <c r="C35" s="92"/>
      <c r="D35" s="92"/>
      <c r="E35" s="92"/>
      <c r="F35" s="92"/>
      <c r="G35" s="93"/>
      <c r="H35" s="94"/>
      <c r="I35" s="92"/>
      <c r="J35" s="92"/>
      <c r="K35" s="92"/>
      <c r="L35" s="92"/>
      <c r="M35" s="93"/>
      <c r="N35" s="94"/>
      <c r="O35" s="92"/>
      <c r="P35" s="92"/>
      <c r="Q35" s="95"/>
      <c r="R35" s="92"/>
      <c r="S35" s="93"/>
      <c r="T35" s="94">
        <v>41.666666666666664</v>
      </c>
      <c r="U35" s="92"/>
      <c r="V35" s="92"/>
      <c r="W35" s="95"/>
      <c r="X35" s="95"/>
      <c r="Y35" s="96"/>
      <c r="Z35" s="97"/>
      <c r="AA35" s="98"/>
      <c r="AB35" s="99"/>
      <c r="AC35" s="99"/>
      <c r="AD35" s="99"/>
      <c r="AE35" s="100"/>
      <c r="AF35" s="97"/>
      <c r="AG35" s="98"/>
      <c r="AH35" s="99"/>
      <c r="AI35" s="99"/>
      <c r="AJ35" s="99"/>
      <c r="AK35" s="100"/>
      <c r="AL35" s="80"/>
      <c r="AM35" s="99"/>
      <c r="AN35" s="99"/>
      <c r="AO35" s="99"/>
      <c r="AP35" s="99"/>
      <c r="AQ35" s="100"/>
      <c r="AR35" s="80"/>
      <c r="AS35" s="99"/>
      <c r="AT35" s="99"/>
      <c r="AU35" s="99"/>
      <c r="AV35" s="99"/>
      <c r="AW35" s="100"/>
      <c r="AX35" s="101"/>
      <c r="AY35" s="102"/>
      <c r="AZ35" s="103"/>
      <c r="BA35" s="102"/>
      <c r="BB35" s="103"/>
      <c r="BC35" s="104"/>
    </row>
    <row r="36" spans="1:55">
      <c r="A36" s="90" t="s">
        <v>454</v>
      </c>
      <c r="B36" s="91">
        <v>30.405405405405403</v>
      </c>
      <c r="C36" s="92">
        <v>75.641025641025635</v>
      </c>
      <c r="D36" s="92"/>
      <c r="E36" s="92"/>
      <c r="F36" s="92"/>
      <c r="G36" s="93"/>
      <c r="H36" s="94"/>
      <c r="I36" s="92"/>
      <c r="J36" s="92"/>
      <c r="K36" s="92"/>
      <c r="L36" s="92"/>
      <c r="M36" s="93"/>
      <c r="N36" s="94"/>
      <c r="O36" s="92"/>
      <c r="P36" s="92"/>
      <c r="Q36" s="95"/>
      <c r="R36" s="92"/>
      <c r="S36" s="93"/>
      <c r="T36" s="94">
        <v>30.405405405405403</v>
      </c>
      <c r="U36" s="92">
        <v>75.641025641025635</v>
      </c>
      <c r="V36" s="92"/>
      <c r="W36" s="95"/>
      <c r="X36" s="95"/>
      <c r="Y36" s="96"/>
      <c r="Z36" s="97"/>
      <c r="AA36" s="98"/>
      <c r="AB36" s="99"/>
      <c r="AC36" s="99"/>
      <c r="AD36" s="99"/>
      <c r="AE36" s="100"/>
      <c r="AF36" s="97"/>
      <c r="AG36" s="98"/>
      <c r="AH36" s="99"/>
      <c r="AI36" s="99"/>
      <c r="AJ36" s="99"/>
      <c r="AK36" s="100"/>
      <c r="AL36" s="80"/>
      <c r="AM36" s="99"/>
      <c r="AN36" s="99"/>
      <c r="AO36" s="99"/>
      <c r="AP36" s="99"/>
      <c r="AQ36" s="100"/>
      <c r="AR36" s="80"/>
      <c r="AS36" s="99"/>
      <c r="AT36" s="99"/>
      <c r="AU36" s="99"/>
      <c r="AV36" s="99"/>
      <c r="AW36" s="100"/>
      <c r="AX36" s="101"/>
      <c r="AY36" s="102"/>
      <c r="AZ36" s="103"/>
      <c r="BA36" s="102"/>
      <c r="BB36" s="103"/>
      <c r="BC36" s="104"/>
    </row>
    <row r="37" spans="1:55">
      <c r="A37" s="90" t="s">
        <v>455</v>
      </c>
      <c r="B37" s="91">
        <v>21.666666666666664</v>
      </c>
      <c r="C37" s="92"/>
      <c r="D37" s="92"/>
      <c r="E37" s="92"/>
      <c r="F37" s="92"/>
      <c r="G37" s="93"/>
      <c r="H37" s="94"/>
      <c r="I37" s="92"/>
      <c r="J37" s="92"/>
      <c r="K37" s="92"/>
      <c r="L37" s="92"/>
      <c r="M37" s="93"/>
      <c r="N37" s="94"/>
      <c r="O37" s="92"/>
      <c r="P37" s="92"/>
      <c r="Q37" s="95"/>
      <c r="R37" s="92"/>
      <c r="S37" s="93"/>
      <c r="T37" s="94">
        <v>21.666666666666664</v>
      </c>
      <c r="U37" s="92"/>
      <c r="V37" s="92"/>
      <c r="W37" s="95"/>
      <c r="X37" s="95"/>
      <c r="Y37" s="96"/>
      <c r="Z37" s="97"/>
      <c r="AA37" s="98"/>
      <c r="AB37" s="99"/>
      <c r="AC37" s="99"/>
      <c r="AD37" s="99"/>
      <c r="AE37" s="100"/>
      <c r="AF37" s="97"/>
      <c r="AG37" s="98"/>
      <c r="AH37" s="99"/>
      <c r="AI37" s="99"/>
      <c r="AJ37" s="99"/>
      <c r="AK37" s="100"/>
      <c r="AL37" s="80"/>
      <c r="AM37" s="99"/>
      <c r="AN37" s="99"/>
      <c r="AO37" s="99"/>
      <c r="AP37" s="99"/>
      <c r="AQ37" s="100"/>
      <c r="AR37" s="80"/>
      <c r="AS37" s="99"/>
      <c r="AT37" s="99"/>
      <c r="AU37" s="99"/>
      <c r="AV37" s="99"/>
      <c r="AW37" s="100"/>
      <c r="AX37" s="101"/>
      <c r="AY37" s="102"/>
      <c r="AZ37" s="103"/>
      <c r="BA37" s="102"/>
      <c r="BB37" s="103"/>
      <c r="BC37" s="104"/>
    </row>
    <row r="38" spans="1:55">
      <c r="A38" s="90" t="s">
        <v>122</v>
      </c>
      <c r="B38" s="91"/>
      <c r="C38" s="92">
        <v>52.702702702702702</v>
      </c>
      <c r="D38" s="92">
        <v>51.388888888888886</v>
      </c>
      <c r="E38" s="92">
        <v>59.090909090909093</v>
      </c>
      <c r="F38" s="92"/>
      <c r="G38" s="93"/>
      <c r="H38" s="94"/>
      <c r="I38" s="92">
        <v>52.702702702702702</v>
      </c>
      <c r="J38" s="92">
        <v>51.388888888888886</v>
      </c>
      <c r="K38" s="92">
        <v>59.090909090909093</v>
      </c>
      <c r="L38" s="92"/>
      <c r="M38" s="93"/>
      <c r="N38" s="94"/>
      <c r="O38" s="92"/>
      <c r="P38" s="92"/>
      <c r="Q38" s="95"/>
      <c r="R38" s="92"/>
      <c r="S38" s="93"/>
      <c r="T38" s="94"/>
      <c r="U38" s="92"/>
      <c r="V38" s="92"/>
      <c r="W38" s="95"/>
      <c r="X38" s="95"/>
      <c r="Y38" s="96"/>
      <c r="Z38" s="97"/>
      <c r="AA38" s="98"/>
      <c r="AB38" s="99"/>
      <c r="AC38" s="99"/>
      <c r="AD38" s="99"/>
      <c r="AE38" s="100"/>
      <c r="AF38" s="97"/>
      <c r="AG38" s="98"/>
      <c r="AH38" s="99"/>
      <c r="AI38" s="99"/>
      <c r="AJ38" s="99"/>
      <c r="AK38" s="100"/>
      <c r="AL38" s="80"/>
      <c r="AM38" s="99"/>
      <c r="AN38" s="99"/>
      <c r="AO38" s="99"/>
      <c r="AP38" s="99"/>
      <c r="AQ38" s="100"/>
      <c r="AR38" s="80"/>
      <c r="AS38" s="99"/>
      <c r="AT38" s="99"/>
      <c r="AU38" s="99"/>
      <c r="AV38" s="99"/>
      <c r="AW38" s="100"/>
      <c r="AX38" s="101"/>
      <c r="AY38" s="102"/>
      <c r="AZ38" s="103"/>
      <c r="BA38" s="102"/>
      <c r="BB38" s="103"/>
      <c r="BC38" s="104"/>
    </row>
  </sheetData>
  <sortState xmlns:xlrd2="http://schemas.microsoft.com/office/spreadsheetml/2017/richdata2" ref="A2:A46">
    <sortCondition ref="A2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8DE9E-CD4D-41D9-A7D8-D55E6900E1C1}">
  <sheetPr codeName="Feuil5">
    <tabColor theme="1" tint="0.499984740745262"/>
  </sheetPr>
  <dimension ref="A1:BC186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6" sqref="C36"/>
    </sheetView>
  </sheetViews>
  <sheetFormatPr baseColWidth="10" defaultRowHeight="15"/>
  <cols>
    <col min="1" max="1" width="53.85546875" style="123" bestFit="1" customWidth="1"/>
  </cols>
  <sheetData>
    <row r="1" spans="1:55">
      <c r="A1" s="121" t="s">
        <v>28</v>
      </c>
      <c r="B1" s="88" t="s">
        <v>126</v>
      </c>
      <c r="C1" s="62" t="s">
        <v>127</v>
      </c>
      <c r="D1" s="62" t="s">
        <v>128</v>
      </c>
      <c r="E1" s="62" t="s">
        <v>129</v>
      </c>
      <c r="F1" s="62" t="s">
        <v>130</v>
      </c>
      <c r="G1" s="63" t="s">
        <v>131</v>
      </c>
      <c r="H1" s="61" t="s">
        <v>387</v>
      </c>
      <c r="I1" s="62" t="s">
        <v>388</v>
      </c>
      <c r="J1" s="62" t="s">
        <v>389</v>
      </c>
      <c r="K1" s="62" t="s">
        <v>390</v>
      </c>
      <c r="L1" s="62" t="s">
        <v>391</v>
      </c>
      <c r="M1" s="63" t="s">
        <v>392</v>
      </c>
      <c r="N1" s="61" t="s">
        <v>393</v>
      </c>
      <c r="O1" s="62" t="s">
        <v>394</v>
      </c>
      <c r="P1" s="62" t="s">
        <v>395</v>
      </c>
      <c r="Q1" s="62" t="s">
        <v>396</v>
      </c>
      <c r="R1" s="62" t="s">
        <v>397</v>
      </c>
      <c r="S1" s="63" t="s">
        <v>398</v>
      </c>
      <c r="T1" s="61" t="s">
        <v>399</v>
      </c>
      <c r="U1" s="62" t="s">
        <v>400</v>
      </c>
      <c r="V1" s="62" t="s">
        <v>401</v>
      </c>
      <c r="W1" s="62" t="s">
        <v>402</v>
      </c>
      <c r="X1" s="62" t="s">
        <v>403</v>
      </c>
      <c r="Y1" s="63" t="s">
        <v>404</v>
      </c>
      <c r="Z1" s="64" t="s">
        <v>405</v>
      </c>
      <c r="AA1" s="65" t="s">
        <v>406</v>
      </c>
      <c r="AB1" s="65" t="s">
        <v>407</v>
      </c>
      <c r="AC1" s="65" t="s">
        <v>408</v>
      </c>
      <c r="AD1" s="65" t="s">
        <v>409</v>
      </c>
      <c r="AE1" s="66" t="s">
        <v>410</v>
      </c>
      <c r="AF1" s="64" t="s">
        <v>411</v>
      </c>
      <c r="AG1" s="65" t="s">
        <v>412</v>
      </c>
      <c r="AH1" s="65" t="s">
        <v>413</v>
      </c>
      <c r="AI1" s="65" t="s">
        <v>414</v>
      </c>
      <c r="AJ1" s="65" t="s">
        <v>415</v>
      </c>
      <c r="AK1" s="66" t="s">
        <v>416</v>
      </c>
      <c r="AL1" s="64" t="s">
        <v>417</v>
      </c>
      <c r="AM1" s="65" t="s">
        <v>418</v>
      </c>
      <c r="AN1" s="65" t="s">
        <v>419</v>
      </c>
      <c r="AO1" s="65" t="s">
        <v>420</v>
      </c>
      <c r="AP1" s="65" t="s">
        <v>421</v>
      </c>
      <c r="AQ1" s="66" t="s">
        <v>422</v>
      </c>
      <c r="AR1" s="64" t="s">
        <v>423</v>
      </c>
      <c r="AS1" s="65" t="s">
        <v>424</v>
      </c>
      <c r="AT1" s="65" t="s">
        <v>425</v>
      </c>
      <c r="AU1" s="65" t="s">
        <v>426</v>
      </c>
      <c r="AV1" s="65" t="s">
        <v>427</v>
      </c>
      <c r="AW1" s="66" t="s">
        <v>428</v>
      </c>
      <c r="AX1" s="67" t="s">
        <v>429</v>
      </c>
      <c r="AY1" s="68" t="s">
        <v>430</v>
      </c>
      <c r="AZ1" s="68" t="s">
        <v>431</v>
      </c>
      <c r="BA1" s="68" t="s">
        <v>432</v>
      </c>
      <c r="BB1" s="68" t="s">
        <v>433</v>
      </c>
      <c r="BC1" s="69" t="s">
        <v>434</v>
      </c>
    </row>
    <row r="2" spans="1:55">
      <c r="A2" s="122" t="s">
        <v>471</v>
      </c>
      <c r="B2" s="91">
        <v>98.75</v>
      </c>
      <c r="C2" s="92">
        <v>85.897435897435898</v>
      </c>
      <c r="D2" s="92"/>
      <c r="E2" s="92"/>
      <c r="F2" s="92"/>
      <c r="G2" s="93"/>
      <c r="H2" s="94"/>
      <c r="I2" s="92"/>
      <c r="J2" s="92"/>
      <c r="K2" s="92"/>
      <c r="L2" s="92"/>
      <c r="M2" s="93"/>
      <c r="N2" s="94" t="s">
        <v>456</v>
      </c>
      <c r="O2" s="92"/>
      <c r="P2" s="92"/>
      <c r="Q2" s="95"/>
      <c r="R2" s="92"/>
      <c r="S2" s="93"/>
      <c r="T2" s="94" t="s">
        <v>456</v>
      </c>
      <c r="U2" s="92">
        <v>85.897435897435898</v>
      </c>
      <c r="V2" s="92"/>
      <c r="W2" s="95"/>
      <c r="X2" s="95"/>
      <c r="Y2" s="96"/>
      <c r="Z2" s="97" t="s">
        <v>456</v>
      </c>
      <c r="AA2" s="98"/>
      <c r="AB2" s="99"/>
      <c r="AC2" s="99"/>
      <c r="AD2" s="99"/>
      <c r="AE2" s="100"/>
      <c r="AF2" s="97" t="s">
        <v>456</v>
      </c>
      <c r="AG2" s="98"/>
      <c r="AH2" s="99"/>
      <c r="AI2" s="99"/>
      <c r="AJ2" s="99"/>
      <c r="AK2" s="100"/>
      <c r="AL2" s="99"/>
      <c r="AM2" s="99"/>
      <c r="AN2" s="99"/>
      <c r="AO2" s="99"/>
      <c r="AP2" s="99"/>
      <c r="AQ2" s="100"/>
      <c r="AR2" s="99"/>
      <c r="AS2" s="99"/>
      <c r="AT2" s="99"/>
      <c r="AU2" s="99"/>
      <c r="AV2" s="99"/>
      <c r="AW2" s="100"/>
      <c r="AX2" s="101"/>
      <c r="AY2" s="102"/>
      <c r="AZ2" s="103"/>
      <c r="BA2" s="102"/>
      <c r="BB2" s="103"/>
      <c r="BC2" s="104"/>
    </row>
    <row r="3" spans="1:55">
      <c r="A3" s="122" t="s">
        <v>472</v>
      </c>
      <c r="B3" s="91">
        <v>96.511627906976742</v>
      </c>
      <c r="C3" s="92">
        <v>72.368421052631575</v>
      </c>
      <c r="D3" s="92"/>
      <c r="E3" s="92"/>
      <c r="F3" s="92"/>
      <c r="G3" s="93"/>
      <c r="H3" s="94"/>
      <c r="I3" s="92"/>
      <c r="J3" s="92"/>
      <c r="K3" s="92"/>
      <c r="L3" s="92"/>
      <c r="M3" s="93"/>
      <c r="N3" s="94"/>
      <c r="O3" s="92"/>
      <c r="P3" s="92"/>
      <c r="Q3" s="95"/>
      <c r="R3" s="92"/>
      <c r="S3" s="93"/>
      <c r="T3" s="94">
        <v>96.511627906976742</v>
      </c>
      <c r="U3" s="92">
        <v>72.368421052631575</v>
      </c>
      <c r="V3" s="92"/>
      <c r="W3" s="95"/>
      <c r="X3" s="95"/>
      <c r="Y3" s="96"/>
      <c r="Z3" s="97"/>
      <c r="AA3" s="98"/>
      <c r="AB3" s="99"/>
      <c r="AC3" s="99"/>
      <c r="AD3" s="99"/>
      <c r="AE3" s="100"/>
      <c r="AF3" s="97"/>
      <c r="AG3" s="98"/>
      <c r="AH3" s="99"/>
      <c r="AI3" s="99"/>
      <c r="AJ3" s="99"/>
      <c r="AK3" s="100"/>
      <c r="AL3" s="99"/>
      <c r="AM3" s="99"/>
      <c r="AN3" s="99"/>
      <c r="AO3" s="99"/>
      <c r="AP3" s="99"/>
      <c r="AQ3" s="100"/>
      <c r="AR3" s="99"/>
      <c r="AS3" s="99"/>
      <c r="AT3" s="99"/>
      <c r="AU3" s="99"/>
      <c r="AV3" s="99"/>
      <c r="AW3" s="100"/>
      <c r="AX3" s="101"/>
      <c r="AY3" s="102"/>
      <c r="AZ3" s="103"/>
      <c r="BA3" s="102"/>
      <c r="BB3" s="103"/>
      <c r="BC3" s="104"/>
    </row>
    <row r="4" spans="1:55">
      <c r="A4" s="122" t="s">
        <v>473</v>
      </c>
      <c r="B4" s="91">
        <v>96.341463414634148</v>
      </c>
      <c r="C4" s="92">
        <v>80.128205128205124</v>
      </c>
      <c r="D4" s="92">
        <v>92.682926829268297</v>
      </c>
      <c r="E4" s="92"/>
      <c r="F4" s="92"/>
      <c r="G4" s="93"/>
      <c r="H4" s="94">
        <v>96.341463414634148</v>
      </c>
      <c r="I4" s="92">
        <v>80.128205128205124</v>
      </c>
      <c r="J4" s="92">
        <v>92.682926829268297</v>
      </c>
      <c r="K4" s="92"/>
      <c r="L4" s="92"/>
      <c r="M4" s="93"/>
      <c r="N4" s="94"/>
      <c r="O4" s="92"/>
      <c r="P4" s="92"/>
      <c r="Q4" s="95"/>
      <c r="R4" s="92"/>
      <c r="S4" s="93"/>
      <c r="T4" s="94"/>
      <c r="U4" s="92"/>
      <c r="V4" s="92"/>
      <c r="W4" s="95"/>
      <c r="X4" s="95"/>
      <c r="Y4" s="96"/>
      <c r="Z4" s="97">
        <v>82.456140350877192</v>
      </c>
      <c r="AA4" s="98"/>
      <c r="AB4" s="99"/>
      <c r="AC4" s="99"/>
      <c r="AD4" s="99"/>
      <c r="AE4" s="100"/>
      <c r="AF4" s="97">
        <v>82.456140350877192</v>
      </c>
      <c r="AG4" s="98"/>
      <c r="AH4" s="99"/>
      <c r="AI4" s="99"/>
      <c r="AJ4" s="99"/>
      <c r="AK4" s="100"/>
      <c r="AL4" s="99"/>
      <c r="AM4" s="99"/>
      <c r="AN4" s="99"/>
      <c r="AO4" s="99"/>
      <c r="AP4" s="99"/>
      <c r="AQ4" s="100"/>
      <c r="AR4" s="99"/>
      <c r="AS4" s="99"/>
      <c r="AT4" s="99"/>
      <c r="AU4" s="99"/>
      <c r="AV4" s="99"/>
      <c r="AW4" s="100"/>
      <c r="AX4" s="101"/>
      <c r="AY4" s="102"/>
      <c r="AZ4" s="103"/>
      <c r="BA4" s="102"/>
      <c r="BB4" s="103"/>
      <c r="BC4" s="104"/>
    </row>
    <row r="5" spans="1:55">
      <c r="A5" s="122" t="s">
        <v>474</v>
      </c>
      <c r="B5" s="91">
        <v>96.25</v>
      </c>
      <c r="C5" s="92">
        <v>92.307692307692307</v>
      </c>
      <c r="D5" s="92"/>
      <c r="E5" s="92"/>
      <c r="F5" s="92"/>
      <c r="G5" s="93"/>
      <c r="H5" s="94"/>
      <c r="I5" s="92"/>
      <c r="J5" s="92"/>
      <c r="K5" s="92"/>
      <c r="L5" s="92"/>
      <c r="M5" s="93"/>
      <c r="N5" s="94"/>
      <c r="O5" s="92"/>
      <c r="P5" s="92"/>
      <c r="Q5" s="95"/>
      <c r="R5" s="92"/>
      <c r="S5" s="93"/>
      <c r="T5" s="94">
        <v>96.25</v>
      </c>
      <c r="U5" s="92">
        <v>92.307692307692307</v>
      </c>
      <c r="V5" s="92"/>
      <c r="W5" s="95"/>
      <c r="X5" s="95"/>
      <c r="Y5" s="96"/>
      <c r="Z5" s="97"/>
      <c r="AA5" s="98"/>
      <c r="AB5" s="99"/>
      <c r="AC5" s="99"/>
      <c r="AD5" s="99"/>
      <c r="AE5" s="100"/>
      <c r="AF5" s="97"/>
      <c r="AG5" s="98"/>
      <c r="AH5" s="99"/>
      <c r="AI5" s="99"/>
      <c r="AJ5" s="99"/>
      <c r="AK5" s="100"/>
      <c r="AL5" s="99"/>
      <c r="AM5" s="99"/>
      <c r="AN5" s="99"/>
      <c r="AO5" s="99"/>
      <c r="AP5" s="99"/>
      <c r="AQ5" s="100"/>
      <c r="AR5" s="99"/>
      <c r="AS5" s="99"/>
      <c r="AT5" s="99"/>
      <c r="AU5" s="99"/>
      <c r="AV5" s="99"/>
      <c r="AW5" s="100"/>
      <c r="AX5" s="101"/>
      <c r="AY5" s="102"/>
      <c r="AZ5" s="103"/>
      <c r="BA5" s="102"/>
      <c r="BB5" s="103"/>
      <c r="BC5" s="104"/>
    </row>
    <row r="6" spans="1:55">
      <c r="A6" s="122" t="s">
        <v>475</v>
      </c>
      <c r="B6" s="91">
        <v>96.05263157894737</v>
      </c>
      <c r="C6" s="92">
        <v>97.297297297297291</v>
      </c>
      <c r="D6" s="92"/>
      <c r="E6" s="92"/>
      <c r="F6" s="92"/>
      <c r="G6" s="93"/>
      <c r="H6" s="94"/>
      <c r="I6" s="92"/>
      <c r="J6" s="92"/>
      <c r="K6" s="92"/>
      <c r="L6" s="92"/>
      <c r="M6" s="93"/>
      <c r="N6" s="94"/>
      <c r="O6" s="92"/>
      <c r="P6" s="92"/>
      <c r="Q6" s="95"/>
      <c r="R6" s="92"/>
      <c r="S6" s="93"/>
      <c r="T6" s="94">
        <v>96.05263157894737</v>
      </c>
      <c r="U6" s="92">
        <v>97.297297297297291</v>
      </c>
      <c r="V6" s="92"/>
      <c r="W6" s="95"/>
      <c r="X6" s="95"/>
      <c r="Y6" s="96"/>
      <c r="Z6" s="97"/>
      <c r="AA6" s="98"/>
      <c r="AB6" s="99"/>
      <c r="AC6" s="99"/>
      <c r="AD6" s="99"/>
      <c r="AE6" s="100"/>
      <c r="AF6" s="97"/>
      <c r="AG6" s="98"/>
      <c r="AH6" s="99"/>
      <c r="AI6" s="99"/>
      <c r="AJ6" s="99"/>
      <c r="AK6" s="100"/>
      <c r="AL6" s="99"/>
      <c r="AM6" s="99"/>
      <c r="AN6" s="99"/>
      <c r="AO6" s="99"/>
      <c r="AP6" s="99"/>
      <c r="AQ6" s="100"/>
      <c r="AR6" s="99"/>
      <c r="AS6" s="99"/>
      <c r="AT6" s="99"/>
      <c r="AU6" s="99"/>
      <c r="AV6" s="99"/>
      <c r="AW6" s="100"/>
      <c r="AX6" s="101"/>
      <c r="AY6" s="102"/>
      <c r="AZ6" s="103"/>
      <c r="BA6" s="102"/>
      <c r="BB6" s="103"/>
      <c r="BC6" s="104"/>
    </row>
    <row r="7" spans="1:55">
      <c r="A7" s="122" t="s">
        <v>476</v>
      </c>
      <c r="B7" s="91">
        <v>95.491803278688522</v>
      </c>
      <c r="C7" s="92">
        <v>89.743589743589737</v>
      </c>
      <c r="D7" s="92"/>
      <c r="E7" s="92"/>
      <c r="F7" s="92"/>
      <c r="G7" s="93"/>
      <c r="H7" s="94">
        <v>95.491803278688522</v>
      </c>
      <c r="I7" s="92">
        <v>89.743589743589737</v>
      </c>
      <c r="J7" s="92"/>
      <c r="K7" s="92"/>
      <c r="L7" s="92"/>
      <c r="M7" s="93"/>
      <c r="N7" s="94"/>
      <c r="O7" s="92"/>
      <c r="P7" s="92"/>
      <c r="Q7" s="95"/>
      <c r="R7" s="92"/>
      <c r="S7" s="93"/>
      <c r="T7" s="94"/>
      <c r="U7" s="92"/>
      <c r="V7" s="92"/>
      <c r="W7" s="95"/>
      <c r="X7" s="95"/>
      <c r="Y7" s="96"/>
      <c r="Z7" s="97">
        <v>90.517241379310349</v>
      </c>
      <c r="AA7" s="98"/>
      <c r="AB7" s="99"/>
      <c r="AC7" s="99"/>
      <c r="AD7" s="99"/>
      <c r="AE7" s="100"/>
      <c r="AF7" s="97">
        <v>90.517241379310349</v>
      </c>
      <c r="AG7" s="98"/>
      <c r="AH7" s="99"/>
      <c r="AI7" s="99"/>
      <c r="AJ7" s="99"/>
      <c r="AK7" s="100"/>
      <c r="AL7" s="99"/>
      <c r="AM7" s="99"/>
      <c r="AN7" s="99"/>
      <c r="AO7" s="99"/>
      <c r="AP7" s="99"/>
      <c r="AQ7" s="100"/>
      <c r="AR7" s="99"/>
      <c r="AS7" s="99"/>
      <c r="AT7" s="99"/>
      <c r="AU7" s="99"/>
      <c r="AV7" s="99"/>
      <c r="AW7" s="100"/>
      <c r="AX7" s="101"/>
      <c r="AY7" s="102"/>
      <c r="AZ7" s="103"/>
      <c r="BA7" s="102"/>
      <c r="BB7" s="103"/>
      <c r="BC7" s="104"/>
    </row>
    <row r="8" spans="1:55">
      <c r="A8" s="122" t="s">
        <v>477</v>
      </c>
      <c r="B8" s="91">
        <v>95.04132231404958</v>
      </c>
      <c r="C8" s="92">
        <v>98.717948717948715</v>
      </c>
      <c r="D8" s="92">
        <v>84.615384615384613</v>
      </c>
      <c r="E8" s="92">
        <v>100</v>
      </c>
      <c r="F8" s="92"/>
      <c r="G8" s="93"/>
      <c r="H8" s="94">
        <v>95.04132231404958</v>
      </c>
      <c r="I8" s="92">
        <v>98.717948717948715</v>
      </c>
      <c r="J8" s="92">
        <v>84.615384615384613</v>
      </c>
      <c r="K8" s="92">
        <v>100</v>
      </c>
      <c r="L8" s="92"/>
      <c r="M8" s="93"/>
      <c r="N8" s="94"/>
      <c r="O8" s="92"/>
      <c r="P8" s="92"/>
      <c r="Q8" s="95"/>
      <c r="R8" s="92"/>
      <c r="S8" s="93"/>
      <c r="T8" s="94"/>
      <c r="U8" s="92"/>
      <c r="V8" s="92"/>
      <c r="W8" s="95"/>
      <c r="X8" s="95"/>
      <c r="Y8" s="96"/>
      <c r="Z8" s="97">
        <v>80.909090909090907</v>
      </c>
      <c r="AA8" s="98"/>
      <c r="AB8" s="99"/>
      <c r="AC8" s="99"/>
      <c r="AD8" s="99"/>
      <c r="AE8" s="100"/>
      <c r="AF8" s="97">
        <v>80.909090909090907</v>
      </c>
      <c r="AG8" s="98"/>
      <c r="AH8" s="99"/>
      <c r="AI8" s="99"/>
      <c r="AJ8" s="99"/>
      <c r="AK8" s="100"/>
      <c r="AL8" s="99"/>
      <c r="AM8" s="99"/>
      <c r="AN8" s="99"/>
      <c r="AO8" s="99"/>
      <c r="AP8" s="99"/>
      <c r="AQ8" s="100"/>
      <c r="AR8" s="99"/>
      <c r="AS8" s="99"/>
      <c r="AT8" s="99"/>
      <c r="AU8" s="99"/>
      <c r="AV8" s="99"/>
      <c r="AW8" s="100"/>
      <c r="AX8" s="101"/>
      <c r="AY8" s="102"/>
      <c r="AZ8" s="103"/>
      <c r="BA8" s="102"/>
      <c r="BB8" s="103"/>
      <c r="BC8" s="104"/>
    </row>
    <row r="9" spans="1:55">
      <c r="A9" s="122" t="s">
        <v>457</v>
      </c>
      <c r="B9" s="91">
        <v>94.642857142857139</v>
      </c>
      <c r="C9" s="92">
        <v>76.829268292682926</v>
      </c>
      <c r="D9" s="92"/>
      <c r="E9" s="92"/>
      <c r="F9" s="92"/>
      <c r="G9" s="93"/>
      <c r="H9" s="94"/>
      <c r="I9" s="92"/>
      <c r="J9" s="92"/>
      <c r="K9" s="92"/>
      <c r="L9" s="92"/>
      <c r="M9" s="93"/>
      <c r="N9" s="94"/>
      <c r="O9" s="92"/>
      <c r="P9" s="92"/>
      <c r="Q9" s="95"/>
      <c r="R9" s="92"/>
      <c r="S9" s="93"/>
      <c r="T9" s="94">
        <v>94.642857142857139</v>
      </c>
      <c r="U9" s="92">
        <v>76.829268292682926</v>
      </c>
      <c r="V9" s="92"/>
      <c r="W9" s="95"/>
      <c r="X9" s="95"/>
      <c r="Y9" s="96"/>
      <c r="Z9" s="97"/>
      <c r="AA9" s="98"/>
      <c r="AB9" s="99"/>
      <c r="AC9" s="99"/>
      <c r="AD9" s="99"/>
      <c r="AE9" s="100"/>
      <c r="AF9" s="97"/>
      <c r="AG9" s="98"/>
      <c r="AH9" s="99"/>
      <c r="AI9" s="99"/>
      <c r="AJ9" s="99"/>
      <c r="AK9" s="100"/>
      <c r="AL9" s="99"/>
      <c r="AM9" s="99"/>
      <c r="AN9" s="99"/>
      <c r="AO9" s="99"/>
      <c r="AP9" s="99"/>
      <c r="AQ9" s="100"/>
      <c r="AR9" s="99"/>
      <c r="AS9" s="99"/>
      <c r="AT9" s="99"/>
      <c r="AU9" s="99"/>
      <c r="AV9" s="99"/>
      <c r="AW9" s="100"/>
      <c r="AX9" s="101"/>
      <c r="AY9" s="102"/>
      <c r="AZ9" s="103"/>
      <c r="BA9" s="102"/>
      <c r="BB9" s="103"/>
      <c r="BC9" s="104"/>
    </row>
    <row r="10" spans="1:55">
      <c r="A10" s="122" t="s">
        <v>478</v>
      </c>
      <c r="B10" s="91">
        <v>94.354838709677423</v>
      </c>
      <c r="C10" s="92">
        <v>92.948717948717942</v>
      </c>
      <c r="D10" s="92"/>
      <c r="E10" s="92"/>
      <c r="F10" s="92"/>
      <c r="G10" s="93"/>
      <c r="H10" s="94"/>
      <c r="I10" s="92"/>
      <c r="J10" s="92"/>
      <c r="K10" s="92"/>
      <c r="L10" s="92"/>
      <c r="M10" s="93"/>
      <c r="N10" s="94">
        <v>94.354838709677423</v>
      </c>
      <c r="O10" s="92">
        <v>92.948717948717942</v>
      </c>
      <c r="P10" s="92"/>
      <c r="Q10" s="95"/>
      <c r="R10" s="92"/>
      <c r="S10" s="93"/>
      <c r="T10" s="94"/>
      <c r="U10" s="92"/>
      <c r="V10" s="92"/>
      <c r="W10" s="95"/>
      <c r="X10" s="95"/>
      <c r="Y10" s="96"/>
      <c r="Z10" s="97"/>
      <c r="AA10" s="98"/>
      <c r="AB10" s="99"/>
      <c r="AC10" s="99"/>
      <c r="AD10" s="99"/>
      <c r="AE10" s="100"/>
      <c r="AF10" s="97"/>
      <c r="AG10" s="98"/>
      <c r="AH10" s="99"/>
      <c r="AI10" s="99"/>
      <c r="AJ10" s="99"/>
      <c r="AK10" s="100"/>
      <c r="AL10" s="99"/>
      <c r="AM10" s="99"/>
      <c r="AN10" s="99"/>
      <c r="AO10" s="99"/>
      <c r="AP10" s="99"/>
      <c r="AQ10" s="100"/>
      <c r="AR10" s="99"/>
      <c r="AS10" s="99"/>
      <c r="AT10" s="99"/>
      <c r="AU10" s="99"/>
      <c r="AV10" s="99"/>
      <c r="AW10" s="100"/>
      <c r="AX10" s="101"/>
      <c r="AY10" s="102"/>
      <c r="AZ10" s="103"/>
      <c r="BA10" s="102"/>
      <c r="BB10" s="103"/>
      <c r="BC10" s="104"/>
    </row>
    <row r="11" spans="1:55">
      <c r="A11" s="122" t="s">
        <v>479</v>
      </c>
      <c r="B11" s="91">
        <v>93.902439024390247</v>
      </c>
      <c r="C11" s="92">
        <v>85.897435897435898</v>
      </c>
      <c r="D11" s="92"/>
      <c r="E11" s="92"/>
      <c r="F11" s="92"/>
      <c r="G11" s="93"/>
      <c r="H11" s="94"/>
      <c r="I11" s="92"/>
      <c r="J11" s="92"/>
      <c r="K11" s="92"/>
      <c r="L11" s="92"/>
      <c r="M11" s="93"/>
      <c r="N11" s="94"/>
      <c r="O11" s="92"/>
      <c r="P11" s="92"/>
      <c r="Q11" s="95"/>
      <c r="R11" s="92"/>
      <c r="S11" s="93"/>
      <c r="T11" s="94">
        <v>93.902439024390247</v>
      </c>
      <c r="U11" s="92">
        <v>85.897435897435898</v>
      </c>
      <c r="V11" s="92"/>
      <c r="W11" s="95"/>
      <c r="X11" s="95"/>
      <c r="Y11" s="96"/>
      <c r="Z11" s="97"/>
      <c r="AA11" s="98"/>
      <c r="AB11" s="99"/>
      <c r="AC11" s="99"/>
      <c r="AD11" s="99"/>
      <c r="AE11" s="100"/>
      <c r="AF11" s="97"/>
      <c r="AG11" s="98"/>
      <c r="AH11" s="99"/>
      <c r="AI11" s="99"/>
      <c r="AJ11" s="99"/>
      <c r="AK11" s="100"/>
      <c r="AL11" s="99"/>
      <c r="AM11" s="99"/>
      <c r="AN11" s="99"/>
      <c r="AO11" s="99"/>
      <c r="AP11" s="99"/>
      <c r="AQ11" s="100"/>
      <c r="AR11" s="99"/>
      <c r="AS11" s="99"/>
      <c r="AT11" s="99"/>
      <c r="AU11" s="99"/>
      <c r="AV11" s="99"/>
      <c r="AW11" s="100"/>
      <c r="AX11" s="101"/>
      <c r="AY11" s="102"/>
      <c r="AZ11" s="103"/>
      <c r="BA11" s="102"/>
      <c r="BB11" s="103"/>
      <c r="BC11" s="104"/>
    </row>
    <row r="12" spans="1:55">
      <c r="A12" s="122" t="s">
        <v>480</v>
      </c>
      <c r="B12" s="91">
        <v>93.292682926829272</v>
      </c>
      <c r="C12" s="92">
        <v>87.162162162162161</v>
      </c>
      <c r="D12" s="92">
        <v>70.731707317073173</v>
      </c>
      <c r="E12" s="92">
        <v>88.732394366197184</v>
      </c>
      <c r="F12" s="92"/>
      <c r="G12" s="93"/>
      <c r="H12" s="94">
        <v>93.292682926829272</v>
      </c>
      <c r="I12" s="92">
        <v>87.162162162162161</v>
      </c>
      <c r="J12" s="92">
        <v>70.731707317073173</v>
      </c>
      <c r="K12" s="92">
        <v>88.732394366197184</v>
      </c>
      <c r="L12" s="92"/>
      <c r="M12" s="93"/>
      <c r="N12" s="94"/>
      <c r="O12" s="92"/>
      <c r="P12" s="92"/>
      <c r="Q12" s="95"/>
      <c r="R12" s="92"/>
      <c r="S12" s="93"/>
      <c r="T12" s="94"/>
      <c r="U12" s="92"/>
      <c r="V12" s="92"/>
      <c r="W12" s="95"/>
      <c r="X12" s="95"/>
      <c r="Y12" s="96"/>
      <c r="Z12" s="97">
        <v>0</v>
      </c>
      <c r="AA12" s="98">
        <v>0</v>
      </c>
      <c r="AB12" s="99"/>
      <c r="AC12" s="99"/>
      <c r="AD12" s="99"/>
      <c r="AE12" s="100"/>
      <c r="AF12" s="97">
        <v>0</v>
      </c>
      <c r="AG12" s="98">
        <v>0</v>
      </c>
      <c r="AH12" s="99"/>
      <c r="AI12" s="99"/>
      <c r="AJ12" s="99"/>
      <c r="AK12" s="100"/>
      <c r="AL12" s="99"/>
      <c r="AM12" s="99"/>
      <c r="AN12" s="99"/>
      <c r="AO12" s="99"/>
      <c r="AP12" s="99"/>
      <c r="AQ12" s="100"/>
      <c r="AR12" s="99"/>
      <c r="AS12" s="99"/>
      <c r="AT12" s="99"/>
      <c r="AU12" s="99"/>
      <c r="AV12" s="99"/>
      <c r="AW12" s="100"/>
      <c r="AX12" s="101"/>
      <c r="AY12" s="102"/>
      <c r="AZ12" s="103"/>
      <c r="BA12" s="102"/>
      <c r="BB12" s="103"/>
      <c r="BC12" s="104"/>
    </row>
    <row r="13" spans="1:55">
      <c r="A13" s="122" t="s">
        <v>481</v>
      </c>
      <c r="B13" s="91">
        <v>92.857142857142861</v>
      </c>
      <c r="C13" s="92">
        <v>90.476190476190482</v>
      </c>
      <c r="D13" s="92"/>
      <c r="E13" s="92"/>
      <c r="F13" s="92"/>
      <c r="G13" s="93"/>
      <c r="H13" s="94"/>
      <c r="I13" s="92"/>
      <c r="J13" s="92"/>
      <c r="K13" s="92"/>
      <c r="L13" s="92"/>
      <c r="M13" s="93"/>
      <c r="N13" s="94"/>
      <c r="O13" s="92"/>
      <c r="P13" s="92"/>
      <c r="Q13" s="95"/>
      <c r="R13" s="92"/>
      <c r="S13" s="93"/>
      <c r="T13" s="94">
        <v>92.857142857142861</v>
      </c>
      <c r="U13" s="92">
        <v>90.476190476190482</v>
      </c>
      <c r="V13" s="92"/>
      <c r="W13" s="95"/>
      <c r="X13" s="95"/>
      <c r="Y13" s="96"/>
      <c r="Z13" s="97"/>
      <c r="AA13" s="98"/>
      <c r="AB13" s="99"/>
      <c r="AC13" s="99"/>
      <c r="AD13" s="99"/>
      <c r="AE13" s="100"/>
      <c r="AF13" s="97"/>
      <c r="AG13" s="98"/>
      <c r="AH13" s="99"/>
      <c r="AI13" s="99"/>
      <c r="AJ13" s="99"/>
      <c r="AK13" s="100"/>
      <c r="AL13" s="99"/>
      <c r="AM13" s="99"/>
      <c r="AN13" s="99"/>
      <c r="AO13" s="99"/>
      <c r="AP13" s="99"/>
      <c r="AQ13" s="100"/>
      <c r="AR13" s="99"/>
      <c r="AS13" s="99"/>
      <c r="AT13" s="99"/>
      <c r="AU13" s="99"/>
      <c r="AV13" s="99"/>
      <c r="AW13" s="100"/>
      <c r="AX13" s="101"/>
      <c r="AY13" s="102"/>
      <c r="AZ13" s="103"/>
      <c r="BA13" s="102"/>
      <c r="BB13" s="103"/>
      <c r="BC13" s="104"/>
    </row>
    <row r="14" spans="1:55">
      <c r="A14" s="122" t="s">
        <v>482</v>
      </c>
      <c r="B14" s="91">
        <v>92.682926829268297</v>
      </c>
      <c r="C14" s="92">
        <v>85.256410256410263</v>
      </c>
      <c r="D14" s="92"/>
      <c r="E14" s="92"/>
      <c r="F14" s="92"/>
      <c r="G14" s="93"/>
      <c r="H14" s="94"/>
      <c r="I14" s="92"/>
      <c r="J14" s="92"/>
      <c r="K14" s="92"/>
      <c r="L14" s="92"/>
      <c r="M14" s="93"/>
      <c r="N14" s="94">
        <v>92.682926829268297</v>
      </c>
      <c r="O14" s="92">
        <v>85.256410256410263</v>
      </c>
      <c r="P14" s="92"/>
      <c r="Q14" s="95"/>
      <c r="R14" s="92"/>
      <c r="S14" s="93"/>
      <c r="T14" s="94"/>
      <c r="U14" s="92"/>
      <c r="V14" s="92"/>
      <c r="W14" s="95"/>
      <c r="X14" s="95"/>
      <c r="Y14" s="96"/>
      <c r="Z14" s="97"/>
      <c r="AA14" s="98"/>
      <c r="AB14" s="99"/>
      <c r="AC14" s="99"/>
      <c r="AD14" s="99"/>
      <c r="AE14" s="100"/>
      <c r="AF14" s="97"/>
      <c r="AG14" s="98"/>
      <c r="AH14" s="99"/>
      <c r="AI14" s="99"/>
      <c r="AJ14" s="99"/>
      <c r="AK14" s="100"/>
      <c r="AL14" s="99"/>
      <c r="AM14" s="99"/>
      <c r="AN14" s="99"/>
      <c r="AO14" s="99"/>
      <c r="AP14" s="99"/>
      <c r="AQ14" s="100"/>
      <c r="AR14" s="99"/>
      <c r="AS14" s="99"/>
      <c r="AT14" s="99"/>
      <c r="AU14" s="99"/>
      <c r="AV14" s="99"/>
      <c r="AW14" s="100"/>
      <c r="AX14" s="101"/>
      <c r="AY14" s="102"/>
      <c r="AZ14" s="103"/>
      <c r="BA14" s="102"/>
      <c r="BB14" s="103"/>
      <c r="BC14" s="104"/>
    </row>
    <row r="15" spans="1:55">
      <c r="A15" s="122" t="s">
        <v>483</v>
      </c>
      <c r="B15" s="91">
        <v>92.213114754098356</v>
      </c>
      <c r="C15" s="92">
        <v>79.487179487179489</v>
      </c>
      <c r="D15" s="92"/>
      <c r="E15" s="92"/>
      <c r="F15" s="92"/>
      <c r="G15" s="93"/>
      <c r="H15" s="94"/>
      <c r="I15" s="92"/>
      <c r="J15" s="92"/>
      <c r="K15" s="92"/>
      <c r="L15" s="92"/>
      <c r="M15" s="93"/>
      <c r="N15" s="94">
        <v>92.213114754098356</v>
      </c>
      <c r="O15" s="92">
        <v>79.487179487179489</v>
      </c>
      <c r="P15" s="92"/>
      <c r="Q15" s="95"/>
      <c r="R15" s="92"/>
      <c r="S15" s="93"/>
      <c r="T15" s="94"/>
      <c r="U15" s="92"/>
      <c r="V15" s="92"/>
      <c r="W15" s="95"/>
      <c r="X15" s="95"/>
      <c r="Y15" s="96"/>
      <c r="Z15" s="97"/>
      <c r="AA15" s="98"/>
      <c r="AB15" s="99"/>
      <c r="AC15" s="99"/>
      <c r="AD15" s="99"/>
      <c r="AE15" s="100"/>
      <c r="AF15" s="97"/>
      <c r="AG15" s="98"/>
      <c r="AH15" s="99"/>
      <c r="AI15" s="99"/>
      <c r="AJ15" s="99"/>
      <c r="AK15" s="100"/>
      <c r="AL15" s="99"/>
      <c r="AM15" s="99"/>
      <c r="AN15" s="99"/>
      <c r="AO15" s="99"/>
      <c r="AP15" s="99"/>
      <c r="AQ15" s="100"/>
      <c r="AR15" s="99"/>
      <c r="AS15" s="99"/>
      <c r="AT15" s="99"/>
      <c r="AU15" s="99"/>
      <c r="AV15" s="99"/>
      <c r="AW15" s="100"/>
      <c r="AX15" s="101"/>
      <c r="AY15" s="102"/>
      <c r="AZ15" s="103"/>
      <c r="BA15" s="102"/>
      <c r="BB15" s="103"/>
      <c r="BC15" s="104"/>
    </row>
    <row r="16" spans="1:55">
      <c r="A16" s="122" t="s">
        <v>484</v>
      </c>
      <c r="B16" s="91">
        <v>91.666666666666671</v>
      </c>
      <c r="C16" s="92">
        <v>97.435897435897431</v>
      </c>
      <c r="D16" s="92">
        <v>60</v>
      </c>
      <c r="E16" s="92">
        <v>86.486486486486484</v>
      </c>
      <c r="F16" s="92"/>
      <c r="G16" s="93"/>
      <c r="H16" s="94">
        <v>91.666666666666671</v>
      </c>
      <c r="I16" s="92">
        <v>97.435897435897431</v>
      </c>
      <c r="J16" s="92">
        <v>60</v>
      </c>
      <c r="K16" s="92">
        <v>86.486486486486484</v>
      </c>
      <c r="L16" s="92"/>
      <c r="M16" s="93"/>
      <c r="N16" s="94"/>
      <c r="O16" s="92"/>
      <c r="P16" s="92"/>
      <c r="Q16" s="95"/>
      <c r="R16" s="92"/>
      <c r="S16" s="93"/>
      <c r="T16" s="94"/>
      <c r="U16" s="92"/>
      <c r="V16" s="92"/>
      <c r="W16" s="95"/>
      <c r="X16" s="95"/>
      <c r="Y16" s="96"/>
      <c r="Z16" s="97">
        <v>0</v>
      </c>
      <c r="AA16" s="98"/>
      <c r="AB16" s="99"/>
      <c r="AC16" s="99"/>
      <c r="AD16" s="99"/>
      <c r="AE16" s="100"/>
      <c r="AF16" s="97">
        <v>0</v>
      </c>
      <c r="AG16" s="98"/>
      <c r="AH16" s="99"/>
      <c r="AI16" s="99"/>
      <c r="AJ16" s="99"/>
      <c r="AK16" s="100"/>
      <c r="AL16" s="99"/>
      <c r="AM16" s="99"/>
      <c r="AN16" s="99"/>
      <c r="AO16" s="99"/>
      <c r="AP16" s="99"/>
      <c r="AQ16" s="100"/>
      <c r="AR16" s="99"/>
      <c r="AS16" s="99"/>
      <c r="AT16" s="99"/>
      <c r="AU16" s="99"/>
      <c r="AV16" s="99"/>
      <c r="AW16" s="100"/>
      <c r="AX16" s="101"/>
      <c r="AY16" s="102"/>
      <c r="AZ16" s="103"/>
      <c r="BA16" s="102"/>
      <c r="BB16" s="103"/>
      <c r="BC16" s="104"/>
    </row>
    <row r="17" spans="1:55">
      <c r="A17" s="122" t="s">
        <v>485</v>
      </c>
      <c r="B17" s="91">
        <v>91.666666666666671</v>
      </c>
      <c r="C17" s="92">
        <v>93.589743589743591</v>
      </c>
      <c r="D17" s="92"/>
      <c r="E17" s="92"/>
      <c r="F17" s="92"/>
      <c r="G17" s="93"/>
      <c r="H17" s="94">
        <v>91.666666666666671</v>
      </c>
      <c r="I17" s="92">
        <v>93.589743589743591</v>
      </c>
      <c r="J17" s="92"/>
      <c r="K17" s="92"/>
      <c r="L17" s="92"/>
      <c r="M17" s="93"/>
      <c r="N17" s="94"/>
      <c r="O17" s="92"/>
      <c r="P17" s="92"/>
      <c r="Q17" s="95"/>
      <c r="R17" s="92"/>
      <c r="S17" s="93"/>
      <c r="T17" s="94"/>
      <c r="U17" s="92"/>
      <c r="V17" s="92"/>
      <c r="W17" s="95"/>
      <c r="X17" s="95"/>
      <c r="Y17" s="96"/>
      <c r="Z17" s="97">
        <v>82.758620689655174</v>
      </c>
      <c r="AA17" s="98"/>
      <c r="AB17" s="99"/>
      <c r="AC17" s="99"/>
      <c r="AD17" s="99"/>
      <c r="AE17" s="100"/>
      <c r="AF17" s="97">
        <v>82.758620689655174</v>
      </c>
      <c r="AG17" s="98"/>
      <c r="AH17" s="99"/>
      <c r="AI17" s="99"/>
      <c r="AJ17" s="99"/>
      <c r="AK17" s="100"/>
      <c r="AL17" s="99"/>
      <c r="AM17" s="99"/>
      <c r="AN17" s="99"/>
      <c r="AO17" s="99"/>
      <c r="AP17" s="99"/>
      <c r="AQ17" s="100"/>
      <c r="AR17" s="99"/>
      <c r="AS17" s="99"/>
      <c r="AT17" s="99"/>
      <c r="AU17" s="99"/>
      <c r="AV17" s="99"/>
      <c r="AW17" s="100"/>
      <c r="AX17" s="101"/>
      <c r="AY17" s="102"/>
      <c r="AZ17" s="103"/>
      <c r="BA17" s="102"/>
      <c r="BB17" s="103"/>
      <c r="BC17" s="104"/>
    </row>
    <row r="18" spans="1:55">
      <c r="A18" s="122" t="s">
        <v>486</v>
      </c>
      <c r="B18" s="106">
        <v>91.735537190082638</v>
      </c>
      <c r="C18" s="107">
        <v>92.307692307692307</v>
      </c>
      <c r="D18" s="107"/>
      <c r="E18" s="92"/>
      <c r="F18" s="107"/>
      <c r="G18" s="108"/>
      <c r="H18" s="94">
        <v>91.735537190082638</v>
      </c>
      <c r="I18" s="107">
        <v>92.307692307692307</v>
      </c>
      <c r="J18" s="107"/>
      <c r="K18" s="92"/>
      <c r="L18" s="107"/>
      <c r="M18" s="108"/>
      <c r="N18" s="109"/>
      <c r="O18" s="107"/>
      <c r="P18" s="107"/>
      <c r="Q18" s="110"/>
      <c r="R18" s="107"/>
      <c r="S18" s="108"/>
      <c r="T18" s="109"/>
      <c r="U18" s="107"/>
      <c r="V18" s="107"/>
      <c r="W18" s="110"/>
      <c r="X18" s="110"/>
      <c r="Y18" s="111"/>
      <c r="Z18" s="112">
        <v>89.655172413793096</v>
      </c>
      <c r="AA18" s="98"/>
      <c r="AB18" s="99"/>
      <c r="AC18" s="113"/>
      <c r="AD18" s="113"/>
      <c r="AE18" s="114"/>
      <c r="AF18" s="112">
        <v>89.655172413793096</v>
      </c>
      <c r="AG18" s="115"/>
      <c r="AH18" s="99"/>
      <c r="AI18" s="113"/>
      <c r="AJ18" s="113"/>
      <c r="AK18" s="114"/>
      <c r="AL18" s="99"/>
      <c r="AM18" s="99"/>
      <c r="AN18" s="99"/>
      <c r="AO18" s="113"/>
      <c r="AP18" s="113"/>
      <c r="AQ18" s="114"/>
      <c r="AR18" s="99"/>
      <c r="AS18" s="99"/>
      <c r="AT18" s="99"/>
      <c r="AU18" s="113"/>
      <c r="AV18" s="113"/>
      <c r="AW18" s="114"/>
      <c r="AX18" s="101"/>
      <c r="AY18" s="116"/>
      <c r="AZ18" s="117"/>
      <c r="BA18" s="116"/>
      <c r="BB18" s="117"/>
      <c r="BC18" s="118"/>
    </row>
    <row r="19" spans="1:55">
      <c r="A19" s="122" t="s">
        <v>487</v>
      </c>
      <c r="B19" s="106">
        <v>91.32231404958678</v>
      </c>
      <c r="C19" s="107">
        <v>89.743589743589737</v>
      </c>
      <c r="D19" s="107"/>
      <c r="E19" s="92"/>
      <c r="F19" s="107"/>
      <c r="G19" s="108"/>
      <c r="H19" s="94"/>
      <c r="I19" s="107"/>
      <c r="J19" s="107"/>
      <c r="K19" s="92"/>
      <c r="L19" s="107"/>
      <c r="M19" s="108"/>
      <c r="N19" s="109">
        <v>91.32231404958678</v>
      </c>
      <c r="O19" s="107">
        <v>89.743589743589737</v>
      </c>
      <c r="P19" s="107"/>
      <c r="Q19" s="110"/>
      <c r="R19" s="107"/>
      <c r="S19" s="108"/>
      <c r="T19" s="109"/>
      <c r="U19" s="107"/>
      <c r="V19" s="107"/>
      <c r="W19" s="110"/>
      <c r="X19" s="110"/>
      <c r="Y19" s="111"/>
      <c r="Z19" s="112"/>
      <c r="AA19" s="98"/>
      <c r="AB19" s="99"/>
      <c r="AC19" s="113"/>
      <c r="AD19" s="113"/>
      <c r="AE19" s="114"/>
      <c r="AF19" s="112"/>
      <c r="AG19" s="115"/>
      <c r="AH19" s="99"/>
      <c r="AI19" s="113"/>
      <c r="AJ19" s="113"/>
      <c r="AK19" s="114"/>
      <c r="AL19" s="99"/>
      <c r="AM19" s="99"/>
      <c r="AN19" s="99"/>
      <c r="AO19" s="113"/>
      <c r="AP19" s="113"/>
      <c r="AQ19" s="114"/>
      <c r="AR19" s="99"/>
      <c r="AS19" s="99"/>
      <c r="AT19" s="99"/>
      <c r="AU19" s="113"/>
      <c r="AV19" s="113"/>
      <c r="AW19" s="114"/>
      <c r="AX19" s="101"/>
      <c r="AY19" s="116"/>
      <c r="AZ19" s="117"/>
      <c r="BA19" s="116"/>
      <c r="BB19" s="117"/>
      <c r="BC19" s="118"/>
    </row>
    <row r="20" spans="1:55">
      <c r="A20" s="122" t="s">
        <v>488</v>
      </c>
      <c r="B20" s="106">
        <v>90.573770491803273</v>
      </c>
      <c r="C20" s="107">
        <v>87.179487179487182</v>
      </c>
      <c r="D20" s="107"/>
      <c r="E20" s="92"/>
      <c r="F20" s="107"/>
      <c r="G20" s="108"/>
      <c r="H20" s="94"/>
      <c r="I20" s="107"/>
      <c r="J20" s="107"/>
      <c r="K20" s="92"/>
      <c r="L20" s="107"/>
      <c r="M20" s="108"/>
      <c r="N20" s="109">
        <v>90.573770491803273</v>
      </c>
      <c r="O20" s="107">
        <v>87.179487179487182</v>
      </c>
      <c r="P20" s="107"/>
      <c r="Q20" s="110"/>
      <c r="R20" s="107"/>
      <c r="S20" s="108"/>
      <c r="T20" s="109"/>
      <c r="U20" s="107"/>
      <c r="V20" s="107"/>
      <c r="W20" s="110"/>
      <c r="X20" s="110"/>
      <c r="Y20" s="111"/>
      <c r="Z20" s="112"/>
      <c r="AA20" s="98"/>
      <c r="AB20" s="99"/>
      <c r="AC20" s="113"/>
      <c r="AD20" s="113"/>
      <c r="AE20" s="114"/>
      <c r="AF20" s="112"/>
      <c r="AG20" s="115"/>
      <c r="AH20" s="99"/>
      <c r="AI20" s="113"/>
      <c r="AJ20" s="113"/>
      <c r="AK20" s="114"/>
      <c r="AL20" s="99"/>
      <c r="AM20" s="99"/>
      <c r="AN20" s="99"/>
      <c r="AO20" s="113"/>
      <c r="AP20" s="113"/>
      <c r="AQ20" s="114"/>
      <c r="AR20" s="99"/>
      <c r="AS20" s="99"/>
      <c r="AT20" s="99"/>
      <c r="AU20" s="113"/>
      <c r="AV20" s="113"/>
      <c r="AW20" s="114"/>
      <c r="AX20" s="101"/>
      <c r="AY20" s="116"/>
      <c r="AZ20" s="117"/>
      <c r="BA20" s="116"/>
      <c r="BB20" s="117"/>
      <c r="BC20" s="118"/>
    </row>
    <row r="21" spans="1:55">
      <c r="A21" s="122" t="s">
        <v>489</v>
      </c>
      <c r="B21" s="106">
        <v>89.957264957264954</v>
      </c>
      <c r="C21" s="107">
        <v>46.621621621621621</v>
      </c>
      <c r="D21" s="107">
        <v>47.5</v>
      </c>
      <c r="E21" s="92"/>
      <c r="F21" s="107"/>
      <c r="G21" s="108"/>
      <c r="H21" s="94"/>
      <c r="I21" s="107"/>
      <c r="J21" s="107"/>
      <c r="K21" s="92"/>
      <c r="L21" s="107"/>
      <c r="M21" s="108"/>
      <c r="N21" s="109">
        <v>89.957264957264954</v>
      </c>
      <c r="O21" s="107">
        <v>46.621621621621621</v>
      </c>
      <c r="P21" s="107">
        <v>47.5</v>
      </c>
      <c r="Q21" s="110"/>
      <c r="R21" s="107"/>
      <c r="S21" s="108"/>
      <c r="T21" s="109"/>
      <c r="U21" s="107"/>
      <c r="V21" s="107"/>
      <c r="W21" s="110"/>
      <c r="X21" s="110"/>
      <c r="Y21" s="111"/>
      <c r="Z21" s="112"/>
      <c r="AA21" s="98"/>
      <c r="AB21" s="99"/>
      <c r="AC21" s="113"/>
      <c r="AD21" s="113"/>
      <c r="AE21" s="114"/>
      <c r="AF21" s="112"/>
      <c r="AG21" s="115"/>
      <c r="AH21" s="99"/>
      <c r="AI21" s="113"/>
      <c r="AJ21" s="113"/>
      <c r="AK21" s="114"/>
      <c r="AL21" s="99"/>
      <c r="AM21" s="99"/>
      <c r="AN21" s="99"/>
      <c r="AO21" s="113"/>
      <c r="AP21" s="113"/>
      <c r="AQ21" s="114"/>
      <c r="AR21" s="99"/>
      <c r="AS21" s="99"/>
      <c r="AT21" s="99"/>
      <c r="AU21" s="113"/>
      <c r="AV21" s="113"/>
      <c r="AW21" s="114"/>
      <c r="AX21" s="101"/>
      <c r="AY21" s="116"/>
      <c r="AZ21" s="117"/>
      <c r="BA21" s="116"/>
      <c r="BB21" s="117"/>
      <c r="BC21" s="118"/>
    </row>
    <row r="22" spans="1:55">
      <c r="A22" s="122" t="s">
        <v>490</v>
      </c>
      <c r="B22" s="106">
        <v>89.344262295081961</v>
      </c>
      <c r="C22" s="107">
        <v>97.435897435897431</v>
      </c>
      <c r="D22" s="107"/>
      <c r="E22" s="92"/>
      <c r="F22" s="107"/>
      <c r="G22" s="108"/>
      <c r="H22" s="94">
        <v>89.344262295081961</v>
      </c>
      <c r="I22" s="107">
        <v>97.435897435897431</v>
      </c>
      <c r="J22" s="107"/>
      <c r="K22" s="92"/>
      <c r="L22" s="107"/>
      <c r="M22" s="108"/>
      <c r="N22" s="109"/>
      <c r="O22" s="107"/>
      <c r="P22" s="107"/>
      <c r="Q22" s="110"/>
      <c r="R22" s="107"/>
      <c r="S22" s="108"/>
      <c r="T22" s="109"/>
      <c r="U22" s="107"/>
      <c r="V22" s="107"/>
      <c r="W22" s="110"/>
      <c r="X22" s="110"/>
      <c r="Y22" s="111"/>
      <c r="Z22" s="112">
        <v>84.482758620689651</v>
      </c>
      <c r="AA22" s="98"/>
      <c r="AB22" s="99"/>
      <c r="AC22" s="113"/>
      <c r="AD22" s="113"/>
      <c r="AE22" s="114"/>
      <c r="AF22" s="112">
        <v>84.482758620689651</v>
      </c>
      <c r="AG22" s="115"/>
      <c r="AH22" s="99"/>
      <c r="AI22" s="113"/>
      <c r="AJ22" s="113"/>
      <c r="AK22" s="114"/>
      <c r="AL22" s="99"/>
      <c r="AM22" s="99"/>
      <c r="AN22" s="99"/>
      <c r="AO22" s="113"/>
      <c r="AP22" s="113"/>
      <c r="AQ22" s="114"/>
      <c r="AR22" s="99"/>
      <c r="AS22" s="99"/>
      <c r="AT22" s="99"/>
      <c r="AU22" s="113"/>
      <c r="AV22" s="113"/>
      <c r="AW22" s="114"/>
      <c r="AX22" s="101"/>
      <c r="AY22" s="116"/>
      <c r="AZ22" s="117"/>
      <c r="BA22" s="116"/>
      <c r="BB22" s="117"/>
      <c r="BC22" s="118"/>
    </row>
    <row r="23" spans="1:55">
      <c r="A23" s="122" t="s">
        <v>491</v>
      </c>
      <c r="B23" s="106">
        <v>88.93442622950819</v>
      </c>
      <c r="C23" s="107">
        <v>89.743589743589737</v>
      </c>
      <c r="D23" s="107"/>
      <c r="E23" s="92"/>
      <c r="F23" s="107"/>
      <c r="G23" s="108"/>
      <c r="H23" s="94"/>
      <c r="I23" s="107"/>
      <c r="J23" s="107"/>
      <c r="K23" s="92"/>
      <c r="L23" s="107"/>
      <c r="M23" s="108"/>
      <c r="N23" s="109">
        <v>88.93442622950819</v>
      </c>
      <c r="O23" s="107">
        <v>89.743589743589737</v>
      </c>
      <c r="P23" s="107"/>
      <c r="Q23" s="110"/>
      <c r="R23" s="107"/>
      <c r="S23" s="108"/>
      <c r="T23" s="109"/>
      <c r="U23" s="107"/>
      <c r="V23" s="107"/>
      <c r="W23" s="110"/>
      <c r="X23" s="110"/>
      <c r="Y23" s="111"/>
      <c r="Z23" s="112"/>
      <c r="AA23" s="98"/>
      <c r="AB23" s="99"/>
      <c r="AC23" s="113"/>
      <c r="AD23" s="113"/>
      <c r="AE23" s="114"/>
      <c r="AF23" s="112"/>
      <c r="AG23" s="115"/>
      <c r="AH23" s="99"/>
      <c r="AI23" s="113"/>
      <c r="AJ23" s="113"/>
      <c r="AK23" s="114"/>
      <c r="AL23" s="99"/>
      <c r="AM23" s="99"/>
      <c r="AN23" s="99"/>
      <c r="AO23" s="113"/>
      <c r="AP23" s="113"/>
      <c r="AQ23" s="114"/>
      <c r="AR23" s="99"/>
      <c r="AS23" s="99"/>
      <c r="AT23" s="99"/>
      <c r="AU23" s="113"/>
      <c r="AV23" s="113"/>
      <c r="AW23" s="114"/>
      <c r="AX23" s="101"/>
      <c r="AY23" s="116"/>
      <c r="AZ23" s="117"/>
      <c r="BA23" s="116"/>
      <c r="BB23" s="117"/>
      <c r="BC23" s="118"/>
    </row>
    <row r="24" spans="1:55">
      <c r="A24" s="122" t="s">
        <v>492</v>
      </c>
      <c r="B24" s="106">
        <v>88.84297520661157</v>
      </c>
      <c r="C24" s="107">
        <v>100</v>
      </c>
      <c r="D24" s="107">
        <v>87.804878048780481</v>
      </c>
      <c r="E24" s="92">
        <v>94.594594594594597</v>
      </c>
      <c r="F24" s="107"/>
      <c r="G24" s="108"/>
      <c r="H24" s="94">
        <v>88.84297520661157</v>
      </c>
      <c r="I24" s="107">
        <v>100</v>
      </c>
      <c r="J24" s="107">
        <v>87.804878048780481</v>
      </c>
      <c r="K24" s="92">
        <v>94.594594594594597</v>
      </c>
      <c r="L24" s="107"/>
      <c r="M24" s="108"/>
      <c r="N24" s="109"/>
      <c r="O24" s="107"/>
      <c r="P24" s="107"/>
      <c r="Q24" s="110"/>
      <c r="R24" s="107"/>
      <c r="S24" s="108"/>
      <c r="T24" s="109"/>
      <c r="U24" s="107"/>
      <c r="V24" s="107"/>
      <c r="W24" s="110"/>
      <c r="X24" s="110"/>
      <c r="Y24" s="111"/>
      <c r="Z24" s="112">
        <v>79.824561403508767</v>
      </c>
      <c r="AA24" s="98"/>
      <c r="AB24" s="99"/>
      <c r="AC24" s="113"/>
      <c r="AD24" s="113"/>
      <c r="AE24" s="114"/>
      <c r="AF24" s="112">
        <v>79.824561403508767</v>
      </c>
      <c r="AG24" s="115"/>
      <c r="AH24" s="99"/>
      <c r="AI24" s="113"/>
      <c r="AJ24" s="113"/>
      <c r="AK24" s="114"/>
      <c r="AL24" s="99"/>
      <c r="AM24" s="99"/>
      <c r="AN24" s="99"/>
      <c r="AO24" s="113"/>
      <c r="AP24" s="113"/>
      <c r="AQ24" s="114"/>
      <c r="AR24" s="99"/>
      <c r="AS24" s="99"/>
      <c r="AT24" s="99"/>
      <c r="AU24" s="113"/>
      <c r="AV24" s="113"/>
      <c r="AW24" s="114"/>
      <c r="AX24" s="101"/>
      <c r="AY24" s="116"/>
      <c r="AZ24" s="117"/>
      <c r="BA24" s="116"/>
      <c r="BB24" s="117"/>
      <c r="BC24" s="118"/>
    </row>
    <row r="25" spans="1:55">
      <c r="A25" s="122" t="s">
        <v>493</v>
      </c>
      <c r="B25" s="106">
        <v>88.84297520661157</v>
      </c>
      <c r="C25" s="107">
        <v>75.757575757575751</v>
      </c>
      <c r="D25" s="107"/>
      <c r="E25" s="92"/>
      <c r="F25" s="107"/>
      <c r="G25" s="108"/>
      <c r="H25" s="94">
        <v>88.84297520661157</v>
      </c>
      <c r="I25" s="107">
        <v>75.757575757575751</v>
      </c>
      <c r="J25" s="107"/>
      <c r="K25" s="92"/>
      <c r="L25" s="107"/>
      <c r="M25" s="108"/>
      <c r="N25" s="109"/>
      <c r="O25" s="107"/>
      <c r="P25" s="107"/>
      <c r="Q25" s="110"/>
      <c r="R25" s="107"/>
      <c r="S25" s="108"/>
      <c r="T25" s="109"/>
      <c r="U25" s="107"/>
      <c r="V25" s="107"/>
      <c r="W25" s="110"/>
      <c r="X25" s="110"/>
      <c r="Y25" s="111"/>
      <c r="Z25" s="112">
        <v>0</v>
      </c>
      <c r="AA25" s="98"/>
      <c r="AB25" s="99"/>
      <c r="AC25" s="113"/>
      <c r="AD25" s="113"/>
      <c r="AE25" s="114"/>
      <c r="AF25" s="112">
        <v>0</v>
      </c>
      <c r="AG25" s="115"/>
      <c r="AH25" s="99"/>
      <c r="AI25" s="113"/>
      <c r="AJ25" s="113"/>
      <c r="AK25" s="114"/>
      <c r="AL25" s="99"/>
      <c r="AM25" s="99"/>
      <c r="AN25" s="99"/>
      <c r="AO25" s="113"/>
      <c r="AP25" s="113"/>
      <c r="AQ25" s="114"/>
      <c r="AR25" s="99"/>
      <c r="AS25" s="99"/>
      <c r="AT25" s="99"/>
      <c r="AU25" s="113"/>
      <c r="AV25" s="113"/>
      <c r="AW25" s="114"/>
      <c r="AX25" s="101"/>
      <c r="AY25" s="116"/>
      <c r="AZ25" s="117"/>
      <c r="BA25" s="116"/>
      <c r="BB25" s="117"/>
      <c r="BC25" s="118"/>
    </row>
    <row r="26" spans="1:55">
      <c r="A26" s="122" t="s">
        <v>494</v>
      </c>
      <c r="B26" s="106">
        <v>88.75</v>
      </c>
      <c r="C26" s="107">
        <v>92.307692307692307</v>
      </c>
      <c r="D26" s="107"/>
      <c r="E26" s="92"/>
      <c r="F26" s="107"/>
      <c r="G26" s="108"/>
      <c r="H26" s="94"/>
      <c r="I26" s="107"/>
      <c r="J26" s="107"/>
      <c r="K26" s="92"/>
      <c r="L26" s="107"/>
      <c r="M26" s="108"/>
      <c r="N26" s="109"/>
      <c r="O26" s="107"/>
      <c r="P26" s="107"/>
      <c r="Q26" s="110"/>
      <c r="R26" s="107"/>
      <c r="S26" s="108"/>
      <c r="T26" s="109">
        <v>88.75</v>
      </c>
      <c r="U26" s="107">
        <v>92.307692307692307</v>
      </c>
      <c r="V26" s="107"/>
      <c r="W26" s="110"/>
      <c r="X26" s="110"/>
      <c r="Y26" s="111"/>
      <c r="Z26" s="112"/>
      <c r="AA26" s="98"/>
      <c r="AB26" s="99"/>
      <c r="AC26" s="113"/>
      <c r="AD26" s="113"/>
      <c r="AE26" s="114"/>
      <c r="AF26" s="112"/>
      <c r="AG26" s="115"/>
      <c r="AH26" s="99"/>
      <c r="AI26" s="113"/>
      <c r="AJ26" s="113"/>
      <c r="AK26" s="114"/>
      <c r="AL26" s="99"/>
      <c r="AM26" s="99"/>
      <c r="AN26" s="99"/>
      <c r="AO26" s="113"/>
      <c r="AP26" s="113"/>
      <c r="AQ26" s="114"/>
      <c r="AR26" s="99"/>
      <c r="AS26" s="99"/>
      <c r="AT26" s="99"/>
      <c r="AU26" s="113"/>
      <c r="AV26" s="113"/>
      <c r="AW26" s="114"/>
      <c r="AX26" s="101"/>
      <c r="AY26" s="116"/>
      <c r="AZ26" s="117"/>
      <c r="BA26" s="116"/>
      <c r="BB26" s="117"/>
      <c r="BC26" s="118"/>
    </row>
    <row r="27" spans="1:55">
      <c r="A27" s="122" t="s">
        <v>495</v>
      </c>
      <c r="B27" s="106">
        <v>88.372093023255815</v>
      </c>
      <c r="C27" s="107"/>
      <c r="D27" s="107"/>
      <c r="E27" s="92"/>
      <c r="F27" s="107"/>
      <c r="G27" s="108"/>
      <c r="H27" s="94"/>
      <c r="I27" s="107"/>
      <c r="J27" s="107"/>
      <c r="K27" s="92"/>
      <c r="L27" s="107"/>
      <c r="M27" s="108"/>
      <c r="N27" s="109"/>
      <c r="O27" s="107"/>
      <c r="P27" s="107"/>
      <c r="Q27" s="110"/>
      <c r="R27" s="107"/>
      <c r="S27" s="108"/>
      <c r="T27" s="109">
        <v>88.372093023255815</v>
      </c>
      <c r="U27" s="107"/>
      <c r="V27" s="107"/>
      <c r="W27" s="110"/>
      <c r="X27" s="110"/>
      <c r="Y27" s="111"/>
      <c r="Z27" s="112"/>
      <c r="AA27" s="98"/>
      <c r="AB27" s="99"/>
      <c r="AC27" s="113"/>
      <c r="AD27" s="113"/>
      <c r="AE27" s="114"/>
      <c r="AF27" s="112"/>
      <c r="AG27" s="115"/>
      <c r="AH27" s="99"/>
      <c r="AI27" s="113"/>
      <c r="AJ27" s="113"/>
      <c r="AK27" s="114"/>
      <c r="AL27" s="99"/>
      <c r="AM27" s="99"/>
      <c r="AN27" s="99"/>
      <c r="AO27" s="113"/>
      <c r="AP27" s="113"/>
      <c r="AQ27" s="114"/>
      <c r="AR27" s="99"/>
      <c r="AS27" s="99"/>
      <c r="AT27" s="99"/>
      <c r="AU27" s="113"/>
      <c r="AV27" s="113"/>
      <c r="AW27" s="114"/>
      <c r="AX27" s="101"/>
      <c r="AY27" s="116"/>
      <c r="AZ27" s="117"/>
      <c r="BA27" s="116"/>
      <c r="BB27" s="117"/>
      <c r="BC27" s="118"/>
    </row>
    <row r="28" spans="1:55">
      <c r="A28" s="122" t="s">
        <v>496</v>
      </c>
      <c r="B28" s="106">
        <v>88.016528925619838</v>
      </c>
      <c r="C28" s="107">
        <v>91.025641025641022</v>
      </c>
      <c r="D28" s="107">
        <v>90.243902439024396</v>
      </c>
      <c r="E28" s="92"/>
      <c r="F28" s="107"/>
      <c r="G28" s="108"/>
      <c r="H28" s="94"/>
      <c r="I28" s="107"/>
      <c r="J28" s="107"/>
      <c r="K28" s="92"/>
      <c r="L28" s="107"/>
      <c r="M28" s="108"/>
      <c r="N28" s="109">
        <v>88.016528925619838</v>
      </c>
      <c r="O28" s="107">
        <v>91.025641025641022</v>
      </c>
      <c r="P28" s="107">
        <v>90.243902439024396</v>
      </c>
      <c r="Q28" s="110"/>
      <c r="R28" s="107"/>
      <c r="S28" s="108"/>
      <c r="T28" s="109"/>
      <c r="U28" s="107"/>
      <c r="V28" s="107"/>
      <c r="W28" s="110"/>
      <c r="X28" s="110"/>
      <c r="Y28" s="111"/>
      <c r="Z28" s="112"/>
      <c r="AA28" s="98"/>
      <c r="AB28" s="99"/>
      <c r="AC28" s="113"/>
      <c r="AD28" s="113"/>
      <c r="AE28" s="114"/>
      <c r="AF28" s="112"/>
      <c r="AG28" s="115"/>
      <c r="AH28" s="99"/>
      <c r="AI28" s="113"/>
      <c r="AJ28" s="113"/>
      <c r="AK28" s="114"/>
      <c r="AL28" s="99"/>
      <c r="AM28" s="99"/>
      <c r="AN28" s="99"/>
      <c r="AO28" s="113"/>
      <c r="AP28" s="113"/>
      <c r="AQ28" s="114"/>
      <c r="AR28" s="99"/>
      <c r="AS28" s="99"/>
      <c r="AT28" s="99"/>
      <c r="AU28" s="113"/>
      <c r="AV28" s="113"/>
      <c r="AW28" s="114"/>
      <c r="AX28" s="101"/>
      <c r="AY28" s="116"/>
      <c r="AZ28" s="117"/>
      <c r="BA28" s="116"/>
      <c r="BB28" s="117"/>
      <c r="BC28" s="118"/>
    </row>
    <row r="29" spans="1:55">
      <c r="A29" s="122" t="s">
        <v>497</v>
      </c>
      <c r="B29" s="106">
        <v>87.704918032786878</v>
      </c>
      <c r="C29" s="107">
        <v>83.333333333333329</v>
      </c>
      <c r="D29" s="107">
        <v>80.487804878048777</v>
      </c>
      <c r="E29" s="92"/>
      <c r="F29" s="107"/>
      <c r="G29" s="108"/>
      <c r="H29" s="94"/>
      <c r="I29" s="107"/>
      <c r="J29" s="107"/>
      <c r="K29" s="92"/>
      <c r="L29" s="107"/>
      <c r="M29" s="108"/>
      <c r="N29" s="109">
        <v>87.704918032786878</v>
      </c>
      <c r="O29" s="107">
        <v>83.333333333333329</v>
      </c>
      <c r="P29" s="107">
        <v>80.487804878048777</v>
      </c>
      <c r="Q29" s="110"/>
      <c r="R29" s="107"/>
      <c r="S29" s="108"/>
      <c r="T29" s="109"/>
      <c r="U29" s="107"/>
      <c r="V29" s="107"/>
      <c r="W29" s="110"/>
      <c r="X29" s="110"/>
      <c r="Y29" s="111"/>
      <c r="Z29" s="112"/>
      <c r="AA29" s="98"/>
      <c r="AB29" s="99"/>
      <c r="AC29" s="113"/>
      <c r="AD29" s="113"/>
      <c r="AE29" s="114"/>
      <c r="AF29" s="112"/>
      <c r="AG29" s="115"/>
      <c r="AH29" s="99"/>
      <c r="AI29" s="113"/>
      <c r="AJ29" s="113"/>
      <c r="AK29" s="114"/>
      <c r="AL29" s="99"/>
      <c r="AM29" s="99"/>
      <c r="AN29" s="99"/>
      <c r="AO29" s="113"/>
      <c r="AP29" s="113"/>
      <c r="AQ29" s="114"/>
      <c r="AR29" s="99"/>
      <c r="AS29" s="99"/>
      <c r="AT29" s="99"/>
      <c r="AU29" s="113"/>
      <c r="AV29" s="113"/>
      <c r="AW29" s="114"/>
      <c r="AX29" s="101"/>
      <c r="AY29" s="116"/>
      <c r="AZ29" s="117"/>
      <c r="BA29" s="116"/>
      <c r="BB29" s="117"/>
      <c r="BC29" s="118"/>
    </row>
    <row r="30" spans="1:55">
      <c r="A30" s="122" t="s">
        <v>498</v>
      </c>
      <c r="B30" s="106">
        <v>87.601626016260155</v>
      </c>
      <c r="C30" s="107">
        <v>77.941176470588232</v>
      </c>
      <c r="D30" s="107">
        <v>74.390243902439025</v>
      </c>
      <c r="E30" s="92"/>
      <c r="F30" s="107"/>
      <c r="G30" s="108"/>
      <c r="H30" s="94">
        <v>87.601626016260155</v>
      </c>
      <c r="I30" s="107">
        <v>77.941176470588232</v>
      </c>
      <c r="J30" s="107">
        <v>74.390243902439025</v>
      </c>
      <c r="K30" s="92"/>
      <c r="L30" s="107"/>
      <c r="M30" s="108"/>
      <c r="N30" s="109"/>
      <c r="O30" s="107"/>
      <c r="P30" s="107"/>
      <c r="Q30" s="110"/>
      <c r="R30" s="107"/>
      <c r="S30" s="108"/>
      <c r="T30" s="109"/>
      <c r="U30" s="107"/>
      <c r="V30" s="107"/>
      <c r="W30" s="110"/>
      <c r="X30" s="110"/>
      <c r="Y30" s="111"/>
      <c r="Z30" s="112">
        <v>82.456140350877192</v>
      </c>
      <c r="AA30" s="98"/>
      <c r="AB30" s="99"/>
      <c r="AC30" s="113"/>
      <c r="AD30" s="113"/>
      <c r="AE30" s="114"/>
      <c r="AF30" s="112">
        <v>82.456140350877192</v>
      </c>
      <c r="AG30" s="115"/>
      <c r="AH30" s="99"/>
      <c r="AI30" s="113"/>
      <c r="AJ30" s="113"/>
      <c r="AK30" s="114"/>
      <c r="AL30" s="99"/>
      <c r="AM30" s="99"/>
      <c r="AN30" s="99"/>
      <c r="AO30" s="113"/>
      <c r="AP30" s="113"/>
      <c r="AQ30" s="114"/>
      <c r="AR30" s="99"/>
      <c r="AS30" s="99"/>
      <c r="AT30" s="99"/>
      <c r="AU30" s="113"/>
      <c r="AV30" s="113"/>
      <c r="AW30" s="114"/>
      <c r="AX30" s="101"/>
      <c r="AY30" s="116"/>
      <c r="AZ30" s="117"/>
      <c r="BA30" s="116"/>
      <c r="BB30" s="117"/>
      <c r="BC30" s="118"/>
    </row>
    <row r="31" spans="1:55">
      <c r="A31" s="122" t="s">
        <v>499</v>
      </c>
      <c r="B31" s="106">
        <v>87.396694214876035</v>
      </c>
      <c r="C31" s="107">
        <v>89.743589743589737</v>
      </c>
      <c r="D31" s="107"/>
      <c r="E31" s="92"/>
      <c r="F31" s="107"/>
      <c r="G31" s="108"/>
      <c r="H31" s="94"/>
      <c r="I31" s="107"/>
      <c r="J31" s="107"/>
      <c r="K31" s="92"/>
      <c r="L31" s="107"/>
      <c r="M31" s="108"/>
      <c r="N31" s="109">
        <v>87.396694214876035</v>
      </c>
      <c r="O31" s="107">
        <v>89.743589743589737</v>
      </c>
      <c r="P31" s="107"/>
      <c r="Q31" s="110"/>
      <c r="R31" s="107"/>
      <c r="S31" s="108"/>
      <c r="T31" s="109"/>
      <c r="U31" s="107"/>
      <c r="V31" s="107"/>
      <c r="W31" s="110"/>
      <c r="X31" s="110"/>
      <c r="Y31" s="111"/>
      <c r="Z31" s="112"/>
      <c r="AA31" s="98"/>
      <c r="AB31" s="99"/>
      <c r="AC31" s="113"/>
      <c r="AD31" s="113"/>
      <c r="AE31" s="114"/>
      <c r="AF31" s="112"/>
      <c r="AG31" s="115"/>
      <c r="AH31" s="99"/>
      <c r="AI31" s="113"/>
      <c r="AJ31" s="113"/>
      <c r="AK31" s="114"/>
      <c r="AL31" s="99"/>
      <c r="AM31" s="99"/>
      <c r="AN31" s="99"/>
      <c r="AO31" s="113"/>
      <c r="AP31" s="113"/>
      <c r="AQ31" s="114"/>
      <c r="AR31" s="99"/>
      <c r="AS31" s="99"/>
      <c r="AT31" s="99"/>
      <c r="AU31" s="113"/>
      <c r="AV31" s="113"/>
      <c r="AW31" s="114"/>
      <c r="AX31" s="101"/>
      <c r="AY31" s="116"/>
      <c r="AZ31" s="117"/>
      <c r="BA31" s="116"/>
      <c r="BB31" s="117"/>
      <c r="BC31" s="118"/>
    </row>
    <row r="32" spans="1:55">
      <c r="A32" s="122" t="s">
        <v>500</v>
      </c>
      <c r="B32" s="106">
        <v>87.190082644628106</v>
      </c>
      <c r="C32" s="107">
        <v>77.941176470588232</v>
      </c>
      <c r="D32" s="107">
        <v>80</v>
      </c>
      <c r="E32" s="92">
        <v>89.189189189189193</v>
      </c>
      <c r="F32" s="107"/>
      <c r="G32" s="108"/>
      <c r="H32" s="94">
        <v>87.190082644628106</v>
      </c>
      <c r="I32" s="107">
        <v>77.941176470588232</v>
      </c>
      <c r="J32" s="107">
        <v>80</v>
      </c>
      <c r="K32" s="92">
        <v>89.189189189189193</v>
      </c>
      <c r="L32" s="107"/>
      <c r="M32" s="108"/>
      <c r="N32" s="109"/>
      <c r="O32" s="107"/>
      <c r="P32" s="107"/>
      <c r="Q32" s="110"/>
      <c r="R32" s="107"/>
      <c r="S32" s="108"/>
      <c r="T32" s="109"/>
      <c r="U32" s="107"/>
      <c r="V32" s="107"/>
      <c r="W32" s="110"/>
      <c r="X32" s="110"/>
      <c r="Y32" s="111"/>
      <c r="Z32" s="112">
        <v>60.636363636363633</v>
      </c>
      <c r="AA32" s="98"/>
      <c r="AB32" s="99"/>
      <c r="AC32" s="113"/>
      <c r="AD32" s="113"/>
      <c r="AE32" s="114"/>
      <c r="AF32" s="112">
        <v>60.636363636363633</v>
      </c>
      <c r="AG32" s="115"/>
      <c r="AH32" s="99"/>
      <c r="AI32" s="113"/>
      <c r="AJ32" s="113"/>
      <c r="AK32" s="114"/>
      <c r="AL32" s="99"/>
      <c r="AM32" s="99"/>
      <c r="AN32" s="99"/>
      <c r="AO32" s="113"/>
      <c r="AP32" s="113"/>
      <c r="AQ32" s="114"/>
      <c r="AR32" s="99"/>
      <c r="AS32" s="99"/>
      <c r="AT32" s="99"/>
      <c r="AU32" s="113"/>
      <c r="AV32" s="113"/>
      <c r="AW32" s="114"/>
      <c r="AX32" s="101"/>
      <c r="AY32" s="116"/>
      <c r="AZ32" s="117"/>
      <c r="BA32" s="116"/>
      <c r="BB32" s="117"/>
      <c r="BC32" s="118"/>
    </row>
    <row r="33" spans="1:55">
      <c r="A33" s="122" t="s">
        <v>501</v>
      </c>
      <c r="B33" s="106">
        <v>86.904761904761898</v>
      </c>
      <c r="C33" s="107">
        <v>94.047619047619051</v>
      </c>
      <c r="D33" s="107"/>
      <c r="E33" s="92"/>
      <c r="F33" s="107"/>
      <c r="G33" s="108"/>
      <c r="H33" s="94"/>
      <c r="I33" s="107"/>
      <c r="J33" s="107"/>
      <c r="K33" s="92"/>
      <c r="L33" s="107"/>
      <c r="M33" s="108"/>
      <c r="N33" s="109"/>
      <c r="O33" s="107"/>
      <c r="P33" s="107"/>
      <c r="Q33" s="110"/>
      <c r="R33" s="107"/>
      <c r="S33" s="108"/>
      <c r="T33" s="109">
        <v>86.904761904761898</v>
      </c>
      <c r="U33" s="107">
        <v>94.047619047619051</v>
      </c>
      <c r="V33" s="107"/>
      <c r="W33" s="110"/>
      <c r="X33" s="110"/>
      <c r="Y33" s="111"/>
      <c r="Z33" s="112"/>
      <c r="AA33" s="98"/>
      <c r="AB33" s="99"/>
      <c r="AC33" s="113"/>
      <c r="AD33" s="113"/>
      <c r="AE33" s="114"/>
      <c r="AF33" s="112"/>
      <c r="AG33" s="115"/>
      <c r="AH33" s="99"/>
      <c r="AI33" s="113"/>
      <c r="AJ33" s="113"/>
      <c r="AK33" s="114"/>
      <c r="AL33" s="99"/>
      <c r="AM33" s="99"/>
      <c r="AN33" s="99"/>
      <c r="AO33" s="113"/>
      <c r="AP33" s="113"/>
      <c r="AQ33" s="114"/>
      <c r="AR33" s="99"/>
      <c r="AS33" s="99"/>
      <c r="AT33" s="99"/>
      <c r="AU33" s="113"/>
      <c r="AV33" s="113"/>
      <c r="AW33" s="114"/>
      <c r="AX33" s="101"/>
      <c r="AY33" s="116"/>
      <c r="AZ33" s="117"/>
      <c r="BA33" s="116"/>
      <c r="BB33" s="117"/>
      <c r="BC33" s="118"/>
    </row>
    <row r="34" spans="1:55">
      <c r="A34" s="122" t="s">
        <v>502</v>
      </c>
      <c r="B34" s="106">
        <v>86.04651162790698</v>
      </c>
      <c r="C34" s="107">
        <v>58.571428571428569</v>
      </c>
      <c r="D34" s="107"/>
      <c r="E34" s="92"/>
      <c r="F34" s="107"/>
      <c r="G34" s="108"/>
      <c r="H34" s="94"/>
      <c r="I34" s="107"/>
      <c r="J34" s="107"/>
      <c r="K34" s="92"/>
      <c r="L34" s="107"/>
      <c r="M34" s="108"/>
      <c r="N34" s="109"/>
      <c r="O34" s="107"/>
      <c r="P34" s="107"/>
      <c r="Q34" s="110"/>
      <c r="R34" s="107"/>
      <c r="S34" s="108"/>
      <c r="T34" s="109">
        <v>86.04651162790698</v>
      </c>
      <c r="U34" s="107">
        <v>58.571428571428569</v>
      </c>
      <c r="V34" s="107"/>
      <c r="W34" s="110"/>
      <c r="X34" s="110"/>
      <c r="Y34" s="111"/>
      <c r="Z34" s="112"/>
      <c r="AA34" s="98"/>
      <c r="AB34" s="99"/>
      <c r="AC34" s="113"/>
      <c r="AD34" s="113"/>
      <c r="AE34" s="114"/>
      <c r="AF34" s="112"/>
      <c r="AG34" s="115"/>
      <c r="AH34" s="99"/>
      <c r="AI34" s="113"/>
      <c r="AJ34" s="113"/>
      <c r="AK34" s="114"/>
      <c r="AL34" s="99"/>
      <c r="AM34" s="99"/>
      <c r="AN34" s="99"/>
      <c r="AO34" s="113"/>
      <c r="AP34" s="113"/>
      <c r="AQ34" s="114"/>
      <c r="AR34" s="99"/>
      <c r="AS34" s="99"/>
      <c r="AT34" s="99"/>
      <c r="AU34" s="113"/>
      <c r="AV34" s="113"/>
      <c r="AW34" s="114"/>
      <c r="AX34" s="101"/>
      <c r="AY34" s="116"/>
      <c r="AZ34" s="117"/>
      <c r="BA34" s="116"/>
      <c r="BB34" s="117"/>
      <c r="BC34" s="118"/>
    </row>
    <row r="35" spans="1:55">
      <c r="A35" s="122" t="s">
        <v>503</v>
      </c>
      <c r="B35" s="106">
        <v>85.416666666666671</v>
      </c>
      <c r="C35" s="107">
        <v>75.641025641025635</v>
      </c>
      <c r="D35" s="107"/>
      <c r="E35" s="92"/>
      <c r="F35" s="107"/>
      <c r="G35" s="108"/>
      <c r="H35" s="94"/>
      <c r="I35" s="107"/>
      <c r="J35" s="107"/>
      <c r="K35" s="92"/>
      <c r="L35" s="107"/>
      <c r="M35" s="108"/>
      <c r="N35" s="109">
        <v>85.416666666666671</v>
      </c>
      <c r="O35" s="107">
        <v>75.641025641025635</v>
      </c>
      <c r="P35" s="107"/>
      <c r="Q35" s="110"/>
      <c r="R35" s="107"/>
      <c r="S35" s="108"/>
      <c r="T35" s="109"/>
      <c r="U35" s="107"/>
      <c r="V35" s="107"/>
      <c r="W35" s="110"/>
      <c r="X35" s="110"/>
      <c r="Y35" s="111"/>
      <c r="Z35" s="112"/>
      <c r="AA35" s="98"/>
      <c r="AB35" s="99"/>
      <c r="AC35" s="113"/>
      <c r="AD35" s="113"/>
      <c r="AE35" s="114"/>
      <c r="AF35" s="112"/>
      <c r="AG35" s="115"/>
      <c r="AH35" s="99"/>
      <c r="AI35" s="113"/>
      <c r="AJ35" s="113"/>
      <c r="AK35" s="114"/>
      <c r="AL35" s="99"/>
      <c r="AM35" s="99"/>
      <c r="AN35" s="99"/>
      <c r="AO35" s="113"/>
      <c r="AP35" s="113"/>
      <c r="AQ35" s="114"/>
      <c r="AR35" s="99"/>
      <c r="AS35" s="99"/>
      <c r="AT35" s="99"/>
      <c r="AU35" s="113"/>
      <c r="AV35" s="113"/>
      <c r="AW35" s="114"/>
      <c r="AX35" s="101"/>
      <c r="AY35" s="116"/>
      <c r="AZ35" s="117"/>
      <c r="BA35" s="116"/>
      <c r="BB35" s="117"/>
      <c r="BC35" s="118"/>
    </row>
    <row r="36" spans="1:55">
      <c r="A36" s="122" t="s">
        <v>504</v>
      </c>
      <c r="B36" s="106">
        <v>85.245901639344268</v>
      </c>
      <c r="C36" s="107">
        <v>85.897435897435898</v>
      </c>
      <c r="D36" s="107">
        <v>87.804878048780481</v>
      </c>
      <c r="E36" s="92">
        <v>90.277777777777771</v>
      </c>
      <c r="F36" s="107"/>
      <c r="G36" s="108"/>
      <c r="H36" s="94">
        <v>85.245901639344268</v>
      </c>
      <c r="I36" s="107">
        <v>85.897435897435898</v>
      </c>
      <c r="J36" s="107">
        <v>87.804878048780481</v>
      </c>
      <c r="K36" s="92">
        <v>90.277777777777771</v>
      </c>
      <c r="L36" s="107"/>
      <c r="M36" s="108"/>
      <c r="N36" s="109"/>
      <c r="O36" s="107"/>
      <c r="P36" s="107"/>
      <c r="Q36" s="110"/>
      <c r="R36" s="107"/>
      <c r="S36" s="108"/>
      <c r="T36" s="109"/>
      <c r="U36" s="107"/>
      <c r="V36" s="107"/>
      <c r="W36" s="110"/>
      <c r="X36" s="110"/>
      <c r="Y36" s="111"/>
      <c r="Z36" s="112">
        <v>87.288135593220332</v>
      </c>
      <c r="AA36" s="98"/>
      <c r="AB36" s="99"/>
      <c r="AC36" s="113"/>
      <c r="AD36" s="113"/>
      <c r="AE36" s="114"/>
      <c r="AF36" s="112">
        <v>87.288135593220332</v>
      </c>
      <c r="AG36" s="115"/>
      <c r="AH36" s="99"/>
      <c r="AI36" s="113"/>
      <c r="AJ36" s="113"/>
      <c r="AK36" s="114"/>
      <c r="AL36" s="99"/>
      <c r="AM36" s="99"/>
      <c r="AN36" s="99"/>
      <c r="AO36" s="113"/>
      <c r="AP36" s="113"/>
      <c r="AQ36" s="114"/>
      <c r="AR36" s="99"/>
      <c r="AS36" s="99"/>
      <c r="AT36" s="99"/>
      <c r="AU36" s="113"/>
      <c r="AV36" s="113"/>
      <c r="AW36" s="114"/>
      <c r="AX36" s="101"/>
      <c r="AY36" s="116"/>
      <c r="AZ36" s="117"/>
      <c r="BA36" s="116"/>
      <c r="BB36" s="117"/>
      <c r="BC36" s="118"/>
    </row>
    <row r="37" spans="1:55">
      <c r="A37" s="122" t="s">
        <v>505</v>
      </c>
      <c r="B37" s="106">
        <v>85.245901639344268</v>
      </c>
      <c r="C37" s="107">
        <v>89.743589743589737</v>
      </c>
      <c r="D37" s="107"/>
      <c r="E37" s="92"/>
      <c r="F37" s="107"/>
      <c r="G37" s="108"/>
      <c r="H37" s="94"/>
      <c r="I37" s="107"/>
      <c r="J37" s="107"/>
      <c r="K37" s="92"/>
      <c r="L37" s="107"/>
      <c r="M37" s="108"/>
      <c r="N37" s="109">
        <v>85.245901639344268</v>
      </c>
      <c r="O37" s="107">
        <v>89.743589743589737</v>
      </c>
      <c r="P37" s="107"/>
      <c r="Q37" s="110"/>
      <c r="R37" s="107"/>
      <c r="S37" s="108"/>
      <c r="T37" s="109"/>
      <c r="U37" s="107"/>
      <c r="V37" s="107"/>
      <c r="W37" s="110"/>
      <c r="X37" s="110"/>
      <c r="Y37" s="111"/>
      <c r="Z37" s="112"/>
      <c r="AA37" s="98"/>
      <c r="AB37" s="99"/>
      <c r="AC37" s="113"/>
      <c r="AD37" s="113"/>
      <c r="AE37" s="114"/>
      <c r="AF37" s="112"/>
      <c r="AG37" s="115"/>
      <c r="AH37" s="99"/>
      <c r="AI37" s="113"/>
      <c r="AJ37" s="113"/>
      <c r="AK37" s="114"/>
      <c r="AL37" s="99"/>
      <c r="AM37" s="99"/>
      <c r="AN37" s="99"/>
      <c r="AO37" s="113"/>
      <c r="AP37" s="113"/>
      <c r="AQ37" s="114"/>
      <c r="AR37" s="99"/>
      <c r="AS37" s="99"/>
      <c r="AT37" s="99"/>
      <c r="AU37" s="113"/>
      <c r="AV37" s="113"/>
      <c r="AW37" s="114"/>
      <c r="AX37" s="101"/>
      <c r="AY37" s="116"/>
      <c r="AZ37" s="117"/>
      <c r="BA37" s="116"/>
      <c r="BB37" s="117"/>
      <c r="BC37" s="118"/>
    </row>
    <row r="38" spans="1:55">
      <c r="A38" s="122" t="s">
        <v>506</v>
      </c>
      <c r="B38" s="106">
        <v>85</v>
      </c>
      <c r="C38" s="107">
        <v>87.179487179487182</v>
      </c>
      <c r="D38" s="107"/>
      <c r="E38" s="92"/>
      <c r="F38" s="107"/>
      <c r="G38" s="108"/>
      <c r="H38" s="94">
        <v>85</v>
      </c>
      <c r="I38" s="107">
        <v>87.179487179487182</v>
      </c>
      <c r="J38" s="107"/>
      <c r="K38" s="92"/>
      <c r="L38" s="107"/>
      <c r="M38" s="108"/>
      <c r="N38" s="109"/>
      <c r="O38" s="107"/>
      <c r="P38" s="107"/>
      <c r="Q38" s="110"/>
      <c r="R38" s="107"/>
      <c r="S38" s="108"/>
      <c r="T38" s="109"/>
      <c r="U38" s="107"/>
      <c r="V38" s="107"/>
      <c r="W38" s="110"/>
      <c r="X38" s="110"/>
      <c r="Y38" s="111"/>
      <c r="Z38" s="112">
        <v>90.178571428571431</v>
      </c>
      <c r="AA38" s="98"/>
      <c r="AB38" s="99"/>
      <c r="AC38" s="113"/>
      <c r="AD38" s="113"/>
      <c r="AE38" s="114"/>
      <c r="AF38" s="112">
        <v>90.178571428571431</v>
      </c>
      <c r="AG38" s="115"/>
      <c r="AH38" s="99"/>
      <c r="AI38" s="113"/>
      <c r="AJ38" s="113"/>
      <c r="AK38" s="114"/>
      <c r="AL38" s="99"/>
      <c r="AM38" s="99"/>
      <c r="AN38" s="99"/>
      <c r="AO38" s="113"/>
      <c r="AP38" s="113"/>
      <c r="AQ38" s="114"/>
      <c r="AR38" s="99"/>
      <c r="AS38" s="99"/>
      <c r="AT38" s="99"/>
      <c r="AU38" s="113"/>
      <c r="AV38" s="113"/>
      <c r="AW38" s="114"/>
      <c r="AX38" s="101"/>
      <c r="AY38" s="116"/>
      <c r="AZ38" s="117"/>
      <c r="BA38" s="116"/>
      <c r="BB38" s="117"/>
      <c r="BC38" s="118"/>
    </row>
    <row r="39" spans="1:55">
      <c r="A39" s="122" t="s">
        <v>507</v>
      </c>
      <c r="B39" s="106">
        <v>84.836065573770497</v>
      </c>
      <c r="C39" s="107">
        <v>84.615384615384613</v>
      </c>
      <c r="D39" s="107"/>
      <c r="E39" s="92"/>
      <c r="F39" s="107"/>
      <c r="G39" s="108"/>
      <c r="H39" s="94">
        <v>84.836065573770497</v>
      </c>
      <c r="I39" s="107">
        <v>84.615384615384613</v>
      </c>
      <c r="J39" s="107"/>
      <c r="K39" s="92"/>
      <c r="L39" s="107"/>
      <c r="M39" s="108"/>
      <c r="N39" s="109"/>
      <c r="O39" s="107"/>
      <c r="P39" s="107"/>
      <c r="Q39" s="110"/>
      <c r="R39" s="107"/>
      <c r="S39" s="108"/>
      <c r="T39" s="109"/>
      <c r="U39" s="107"/>
      <c r="V39" s="107"/>
      <c r="W39" s="110"/>
      <c r="X39" s="110"/>
      <c r="Y39" s="111"/>
      <c r="Z39" s="112">
        <v>86.440677966101688</v>
      </c>
      <c r="AA39" s="98"/>
      <c r="AB39" s="99"/>
      <c r="AC39" s="113"/>
      <c r="AD39" s="113"/>
      <c r="AE39" s="114"/>
      <c r="AF39" s="112">
        <v>86.440677966101688</v>
      </c>
      <c r="AG39" s="115"/>
      <c r="AH39" s="99"/>
      <c r="AI39" s="113"/>
      <c r="AJ39" s="113"/>
      <c r="AK39" s="114"/>
      <c r="AL39" s="99"/>
      <c r="AM39" s="99"/>
      <c r="AN39" s="99"/>
      <c r="AO39" s="113"/>
      <c r="AP39" s="113"/>
      <c r="AQ39" s="114"/>
      <c r="AR39" s="99"/>
      <c r="AS39" s="99"/>
      <c r="AT39" s="99"/>
      <c r="AU39" s="113"/>
      <c r="AV39" s="113"/>
      <c r="AW39" s="114"/>
      <c r="AX39" s="101"/>
      <c r="AY39" s="116"/>
      <c r="AZ39" s="117"/>
      <c r="BA39" s="116"/>
      <c r="BB39" s="117"/>
      <c r="BC39" s="118"/>
    </row>
    <row r="40" spans="1:55">
      <c r="A40" s="122" t="s">
        <v>508</v>
      </c>
      <c r="B40" s="106">
        <v>84.677419354838705</v>
      </c>
      <c r="C40" s="107">
        <v>86.84210526315789</v>
      </c>
      <c r="D40" s="107"/>
      <c r="E40" s="92"/>
      <c r="F40" s="107"/>
      <c r="G40" s="108"/>
      <c r="H40" s="94"/>
      <c r="I40" s="107"/>
      <c r="J40" s="107"/>
      <c r="K40" s="92"/>
      <c r="L40" s="107"/>
      <c r="M40" s="108"/>
      <c r="N40" s="109">
        <v>84.677419354838705</v>
      </c>
      <c r="O40" s="107">
        <v>86.84210526315789</v>
      </c>
      <c r="P40" s="107"/>
      <c r="Q40" s="110"/>
      <c r="R40" s="107"/>
      <c r="S40" s="108"/>
      <c r="T40" s="109"/>
      <c r="U40" s="107"/>
      <c r="V40" s="107"/>
      <c r="W40" s="110"/>
      <c r="X40" s="110"/>
      <c r="Y40" s="111"/>
      <c r="Z40" s="112"/>
      <c r="AA40" s="98"/>
      <c r="AB40" s="99"/>
      <c r="AC40" s="113"/>
      <c r="AD40" s="113"/>
      <c r="AE40" s="114"/>
      <c r="AF40" s="112"/>
      <c r="AG40" s="115"/>
      <c r="AH40" s="99"/>
      <c r="AI40" s="113"/>
      <c r="AJ40" s="113"/>
      <c r="AK40" s="114"/>
      <c r="AL40" s="99"/>
      <c r="AM40" s="99"/>
      <c r="AN40" s="99"/>
      <c r="AO40" s="113"/>
      <c r="AP40" s="113"/>
      <c r="AQ40" s="114"/>
      <c r="AR40" s="99"/>
      <c r="AS40" s="99"/>
      <c r="AT40" s="99"/>
      <c r="AU40" s="113"/>
      <c r="AV40" s="113"/>
      <c r="AW40" s="114"/>
      <c r="AX40" s="101"/>
      <c r="AY40" s="116"/>
      <c r="AZ40" s="117"/>
      <c r="BA40" s="116"/>
      <c r="BB40" s="117"/>
      <c r="BC40" s="118"/>
    </row>
    <row r="41" spans="1:55">
      <c r="A41" s="122" t="s">
        <v>509</v>
      </c>
      <c r="B41" s="106">
        <v>84.453781512605048</v>
      </c>
      <c r="C41" s="107">
        <v>87.179487179487182</v>
      </c>
      <c r="D41" s="107"/>
      <c r="E41" s="92"/>
      <c r="F41" s="107"/>
      <c r="G41" s="108"/>
      <c r="H41" s="94"/>
      <c r="I41" s="107"/>
      <c r="J41" s="107"/>
      <c r="K41" s="92"/>
      <c r="L41" s="107"/>
      <c r="M41" s="108"/>
      <c r="N41" s="109">
        <v>84.453781512605048</v>
      </c>
      <c r="O41" s="107">
        <v>87.179487179487182</v>
      </c>
      <c r="P41" s="107"/>
      <c r="Q41" s="110"/>
      <c r="R41" s="107"/>
      <c r="S41" s="108"/>
      <c r="T41" s="109"/>
      <c r="U41" s="107"/>
      <c r="V41" s="107"/>
      <c r="W41" s="110"/>
      <c r="X41" s="110"/>
      <c r="Y41" s="111"/>
      <c r="Z41" s="112"/>
      <c r="AA41" s="98"/>
      <c r="AB41" s="99"/>
      <c r="AC41" s="113"/>
      <c r="AD41" s="113"/>
      <c r="AE41" s="114"/>
      <c r="AF41" s="112"/>
      <c r="AG41" s="115"/>
      <c r="AH41" s="99"/>
      <c r="AI41" s="113"/>
      <c r="AJ41" s="113"/>
      <c r="AK41" s="114"/>
      <c r="AL41" s="99"/>
      <c r="AM41" s="99"/>
      <c r="AN41" s="99"/>
      <c r="AO41" s="113"/>
      <c r="AP41" s="113"/>
      <c r="AQ41" s="114"/>
      <c r="AR41" s="99"/>
      <c r="AS41" s="99"/>
      <c r="AT41" s="99"/>
      <c r="AU41" s="113"/>
      <c r="AV41" s="113"/>
      <c r="AW41" s="114"/>
      <c r="AX41" s="101"/>
      <c r="AY41" s="116"/>
      <c r="AZ41" s="117"/>
      <c r="BA41" s="116"/>
      <c r="BB41" s="117"/>
      <c r="BC41" s="118"/>
    </row>
    <row r="42" spans="1:55">
      <c r="A42" s="122" t="s">
        <v>510</v>
      </c>
      <c r="B42" s="106">
        <v>84.426229508196727</v>
      </c>
      <c r="C42" s="107">
        <v>75.675675675675677</v>
      </c>
      <c r="D42" s="107"/>
      <c r="E42" s="92"/>
      <c r="F42" s="107"/>
      <c r="G42" s="108"/>
      <c r="H42" s="94">
        <v>84.426229508196727</v>
      </c>
      <c r="I42" s="107">
        <v>75.675675675675677</v>
      </c>
      <c r="J42" s="107"/>
      <c r="K42" s="92"/>
      <c r="L42" s="107"/>
      <c r="M42" s="108"/>
      <c r="N42" s="109"/>
      <c r="O42" s="107"/>
      <c r="P42" s="107"/>
      <c r="Q42" s="110"/>
      <c r="R42" s="107"/>
      <c r="S42" s="108"/>
      <c r="T42" s="109"/>
      <c r="U42" s="107"/>
      <c r="V42" s="107"/>
      <c r="W42" s="110"/>
      <c r="X42" s="110"/>
      <c r="Y42" s="111"/>
      <c r="Z42" s="112">
        <v>92.241379310344826</v>
      </c>
      <c r="AA42" s="98"/>
      <c r="AB42" s="99"/>
      <c r="AC42" s="113"/>
      <c r="AD42" s="113"/>
      <c r="AE42" s="114"/>
      <c r="AF42" s="112">
        <v>92.241379310344826</v>
      </c>
      <c r="AG42" s="115"/>
      <c r="AH42" s="99"/>
      <c r="AI42" s="113"/>
      <c r="AJ42" s="113"/>
      <c r="AK42" s="114"/>
      <c r="AL42" s="99"/>
      <c r="AM42" s="99"/>
      <c r="AN42" s="99"/>
      <c r="AO42" s="113"/>
      <c r="AP42" s="113"/>
      <c r="AQ42" s="114"/>
      <c r="AR42" s="99"/>
      <c r="AS42" s="99"/>
      <c r="AT42" s="99"/>
      <c r="AU42" s="113"/>
      <c r="AV42" s="113"/>
      <c r="AW42" s="114"/>
      <c r="AX42" s="101"/>
      <c r="AY42" s="116"/>
      <c r="AZ42" s="117"/>
      <c r="BA42" s="116"/>
      <c r="BB42" s="117"/>
      <c r="BC42" s="118"/>
    </row>
    <row r="43" spans="1:55">
      <c r="A43" s="122" t="s">
        <v>511</v>
      </c>
      <c r="B43" s="106">
        <v>84.426229508196727</v>
      </c>
      <c r="C43" s="107">
        <v>69.444444444444443</v>
      </c>
      <c r="D43" s="107"/>
      <c r="E43" s="92"/>
      <c r="F43" s="107"/>
      <c r="G43" s="108"/>
      <c r="H43" s="94"/>
      <c r="I43" s="107"/>
      <c r="J43" s="107"/>
      <c r="K43" s="92"/>
      <c r="L43" s="107"/>
      <c r="M43" s="108"/>
      <c r="N43" s="109">
        <v>84.426229508196727</v>
      </c>
      <c r="O43" s="107">
        <v>69.444444444444443</v>
      </c>
      <c r="P43" s="107"/>
      <c r="Q43" s="110"/>
      <c r="R43" s="107"/>
      <c r="S43" s="108"/>
      <c r="T43" s="109"/>
      <c r="U43" s="107"/>
      <c r="V43" s="107"/>
      <c r="W43" s="110"/>
      <c r="X43" s="110"/>
      <c r="Y43" s="111"/>
      <c r="Z43" s="112"/>
      <c r="AA43" s="98"/>
      <c r="AB43" s="99"/>
      <c r="AC43" s="113"/>
      <c r="AD43" s="113"/>
      <c r="AE43" s="114"/>
      <c r="AF43" s="112"/>
      <c r="AG43" s="115"/>
      <c r="AH43" s="99"/>
      <c r="AI43" s="113"/>
      <c r="AJ43" s="113"/>
      <c r="AK43" s="114"/>
      <c r="AL43" s="99"/>
      <c r="AM43" s="99"/>
      <c r="AN43" s="99"/>
      <c r="AO43" s="113"/>
      <c r="AP43" s="113"/>
      <c r="AQ43" s="114"/>
      <c r="AR43" s="99"/>
      <c r="AS43" s="99"/>
      <c r="AT43" s="99"/>
      <c r="AU43" s="113"/>
      <c r="AV43" s="113"/>
      <c r="AW43" s="114"/>
      <c r="AX43" s="101"/>
      <c r="AY43" s="116"/>
      <c r="AZ43" s="117"/>
      <c r="BA43" s="116"/>
      <c r="BB43" s="117"/>
      <c r="BC43" s="118"/>
    </row>
    <row r="44" spans="1:55">
      <c r="A44" s="122" t="s">
        <v>512</v>
      </c>
      <c r="B44" s="106">
        <v>84.016393442622956</v>
      </c>
      <c r="C44" s="107">
        <v>85.897435897435898</v>
      </c>
      <c r="D44" s="107">
        <v>90.243902439024396</v>
      </c>
      <c r="E44" s="92">
        <v>84.027777777777771</v>
      </c>
      <c r="F44" s="107"/>
      <c r="G44" s="108"/>
      <c r="H44" s="94">
        <v>84.016393442622956</v>
      </c>
      <c r="I44" s="107">
        <v>85.897435897435898</v>
      </c>
      <c r="J44" s="107">
        <v>90.243902439024396</v>
      </c>
      <c r="K44" s="92">
        <v>84.027777777777771</v>
      </c>
      <c r="L44" s="107"/>
      <c r="M44" s="108"/>
      <c r="N44" s="109"/>
      <c r="O44" s="107"/>
      <c r="P44" s="107"/>
      <c r="Q44" s="110"/>
      <c r="R44" s="107"/>
      <c r="S44" s="108"/>
      <c r="T44" s="109"/>
      <c r="U44" s="107"/>
      <c r="V44" s="107"/>
      <c r="W44" s="110"/>
      <c r="X44" s="110"/>
      <c r="Y44" s="111"/>
      <c r="Z44" s="112">
        <v>90.178571428571431</v>
      </c>
      <c r="AA44" s="98">
        <v>96.428571428571431</v>
      </c>
      <c r="AB44" s="99"/>
      <c r="AC44" s="113"/>
      <c r="AD44" s="113"/>
      <c r="AE44" s="114"/>
      <c r="AF44" s="112">
        <v>90.178571428571431</v>
      </c>
      <c r="AG44" s="115">
        <v>96.428571428571431</v>
      </c>
      <c r="AH44" s="99"/>
      <c r="AI44" s="113"/>
      <c r="AJ44" s="113"/>
      <c r="AK44" s="114"/>
      <c r="AL44" s="99"/>
      <c r="AM44" s="99"/>
      <c r="AN44" s="99"/>
      <c r="AO44" s="113"/>
      <c r="AP44" s="113"/>
      <c r="AQ44" s="114"/>
      <c r="AR44" s="99"/>
      <c r="AS44" s="99"/>
      <c r="AT44" s="99"/>
      <c r="AU44" s="113"/>
      <c r="AV44" s="113"/>
      <c r="AW44" s="114"/>
      <c r="AX44" s="101"/>
      <c r="AY44" s="116"/>
      <c r="AZ44" s="117"/>
      <c r="BA44" s="116"/>
      <c r="BB44" s="117"/>
      <c r="BC44" s="118"/>
    </row>
    <row r="45" spans="1:55">
      <c r="A45" s="122" t="s">
        <v>513</v>
      </c>
      <c r="B45" s="106">
        <v>83.75</v>
      </c>
      <c r="C45" s="107">
        <v>81.081081081081081</v>
      </c>
      <c r="D45" s="107"/>
      <c r="E45" s="92"/>
      <c r="F45" s="107"/>
      <c r="G45" s="108"/>
      <c r="H45" s="94"/>
      <c r="I45" s="107"/>
      <c r="J45" s="107"/>
      <c r="K45" s="92"/>
      <c r="L45" s="107"/>
      <c r="M45" s="108"/>
      <c r="N45" s="109"/>
      <c r="O45" s="107"/>
      <c r="P45" s="107"/>
      <c r="Q45" s="110"/>
      <c r="R45" s="107"/>
      <c r="S45" s="108"/>
      <c r="T45" s="109">
        <v>83.75</v>
      </c>
      <c r="U45" s="107">
        <v>81.081081081081081</v>
      </c>
      <c r="V45" s="107"/>
      <c r="W45" s="110"/>
      <c r="X45" s="110"/>
      <c r="Y45" s="111"/>
      <c r="Z45" s="112"/>
      <c r="AA45" s="98"/>
      <c r="AB45" s="99"/>
      <c r="AC45" s="113"/>
      <c r="AD45" s="113"/>
      <c r="AE45" s="114"/>
      <c r="AF45" s="112"/>
      <c r="AG45" s="115"/>
      <c r="AH45" s="99"/>
      <c r="AI45" s="113"/>
      <c r="AJ45" s="113"/>
      <c r="AK45" s="114"/>
      <c r="AL45" s="99"/>
      <c r="AM45" s="99"/>
      <c r="AN45" s="99"/>
      <c r="AO45" s="113"/>
      <c r="AP45" s="113"/>
      <c r="AQ45" s="114"/>
      <c r="AR45" s="99"/>
      <c r="AS45" s="99"/>
      <c r="AT45" s="99"/>
      <c r="AU45" s="113"/>
      <c r="AV45" s="113"/>
      <c r="AW45" s="114"/>
      <c r="AX45" s="101"/>
      <c r="AY45" s="116"/>
      <c r="AZ45" s="117"/>
      <c r="BA45" s="116"/>
      <c r="BB45" s="117"/>
      <c r="BC45" s="118"/>
    </row>
    <row r="46" spans="1:55">
      <c r="A46" s="122" t="s">
        <v>514</v>
      </c>
      <c r="B46" s="106">
        <v>83.661417322834652</v>
      </c>
      <c r="C46" s="107">
        <v>25.806451612903224</v>
      </c>
      <c r="D46" s="107">
        <v>58.75</v>
      </c>
      <c r="E46" s="92"/>
      <c r="F46" s="107"/>
      <c r="G46" s="108"/>
      <c r="H46" s="94">
        <v>83.661417322834652</v>
      </c>
      <c r="I46" s="107">
        <v>25.806451612903224</v>
      </c>
      <c r="J46" s="107">
        <v>58.75</v>
      </c>
      <c r="K46" s="92"/>
      <c r="L46" s="107"/>
      <c r="M46" s="108"/>
      <c r="N46" s="109"/>
      <c r="O46" s="107"/>
      <c r="P46" s="107"/>
      <c r="Q46" s="110"/>
      <c r="R46" s="107"/>
      <c r="S46" s="108"/>
      <c r="T46" s="109"/>
      <c r="U46" s="107"/>
      <c r="V46" s="107"/>
      <c r="W46" s="110"/>
      <c r="X46" s="110"/>
      <c r="Y46" s="111"/>
      <c r="Z46" s="112">
        <v>65.78947368421052</v>
      </c>
      <c r="AA46" s="98"/>
      <c r="AB46" s="99"/>
      <c r="AC46" s="113"/>
      <c r="AD46" s="113"/>
      <c r="AE46" s="114"/>
      <c r="AF46" s="112">
        <v>65.78947368421052</v>
      </c>
      <c r="AG46" s="115"/>
      <c r="AH46" s="99"/>
      <c r="AI46" s="113"/>
      <c r="AJ46" s="113"/>
      <c r="AK46" s="114"/>
      <c r="AL46" s="99"/>
      <c r="AM46" s="99"/>
      <c r="AN46" s="99"/>
      <c r="AO46" s="113"/>
      <c r="AP46" s="113"/>
      <c r="AQ46" s="114"/>
      <c r="AR46" s="99"/>
      <c r="AS46" s="99"/>
      <c r="AT46" s="99"/>
      <c r="AU46" s="113"/>
      <c r="AV46" s="113"/>
      <c r="AW46" s="114"/>
      <c r="AX46" s="101"/>
      <c r="AY46" s="116"/>
      <c r="AZ46" s="117"/>
      <c r="BA46" s="116"/>
      <c r="BB46" s="117"/>
      <c r="BC46" s="118"/>
    </row>
    <row r="47" spans="1:55">
      <c r="A47" s="122" t="s">
        <v>515</v>
      </c>
      <c r="B47" s="106">
        <v>83.333333333333329</v>
      </c>
      <c r="C47" s="107">
        <v>97.435897435897431</v>
      </c>
      <c r="D47" s="107"/>
      <c r="E47" s="92"/>
      <c r="F47" s="107"/>
      <c r="G47" s="108"/>
      <c r="H47" s="94">
        <v>83.333333333333329</v>
      </c>
      <c r="I47" s="107">
        <v>97.435897435897431</v>
      </c>
      <c r="J47" s="107"/>
      <c r="K47" s="92"/>
      <c r="L47" s="107"/>
      <c r="M47" s="108"/>
      <c r="N47" s="109"/>
      <c r="O47" s="107"/>
      <c r="P47" s="107"/>
      <c r="Q47" s="110"/>
      <c r="R47" s="107"/>
      <c r="S47" s="108"/>
      <c r="T47" s="109"/>
      <c r="U47" s="107"/>
      <c r="V47" s="107"/>
      <c r="W47" s="110"/>
      <c r="X47" s="110"/>
      <c r="Y47" s="111"/>
      <c r="Z47" s="112">
        <v>73.728813559322035</v>
      </c>
      <c r="AA47" s="98"/>
      <c r="AB47" s="99"/>
      <c r="AC47" s="113"/>
      <c r="AD47" s="113"/>
      <c r="AE47" s="114"/>
      <c r="AF47" s="112">
        <v>73.728813559322035</v>
      </c>
      <c r="AG47" s="115"/>
      <c r="AH47" s="99"/>
      <c r="AI47" s="113"/>
      <c r="AJ47" s="113"/>
      <c r="AK47" s="114"/>
      <c r="AL47" s="99"/>
      <c r="AM47" s="99"/>
      <c r="AN47" s="99"/>
      <c r="AO47" s="113"/>
      <c r="AP47" s="113"/>
      <c r="AQ47" s="114"/>
      <c r="AR47" s="99"/>
      <c r="AS47" s="99"/>
      <c r="AT47" s="99"/>
      <c r="AU47" s="113"/>
      <c r="AV47" s="113"/>
      <c r="AW47" s="114"/>
      <c r="AX47" s="101"/>
      <c r="AY47" s="116"/>
      <c r="AZ47" s="117"/>
      <c r="BA47" s="116"/>
      <c r="BB47" s="117"/>
      <c r="BC47" s="118"/>
    </row>
    <row r="48" spans="1:55">
      <c r="A48" s="122" t="s">
        <v>516</v>
      </c>
      <c r="B48" s="106">
        <v>83.196721311475414</v>
      </c>
      <c r="C48" s="107">
        <v>76.92307692307692</v>
      </c>
      <c r="D48" s="107">
        <v>80.487804878048777</v>
      </c>
      <c r="E48" s="92">
        <v>76.388888888888886</v>
      </c>
      <c r="F48" s="107"/>
      <c r="G48" s="108"/>
      <c r="H48" s="94">
        <v>83.196721311475414</v>
      </c>
      <c r="I48" s="107"/>
      <c r="J48" s="107"/>
      <c r="K48" s="92">
        <v>76.388888888888886</v>
      </c>
      <c r="L48" s="107"/>
      <c r="M48" s="108"/>
      <c r="N48" s="109"/>
      <c r="O48" s="107">
        <v>76.92307692307692</v>
      </c>
      <c r="P48" s="107">
        <v>80.487804878048777</v>
      </c>
      <c r="Q48" s="110"/>
      <c r="R48" s="107"/>
      <c r="S48" s="108"/>
      <c r="T48" s="109"/>
      <c r="U48" s="107"/>
      <c r="V48" s="107"/>
      <c r="W48" s="110"/>
      <c r="X48" s="110"/>
      <c r="Y48" s="111"/>
      <c r="Z48" s="112">
        <v>35.849056603773583</v>
      </c>
      <c r="AA48" s="98"/>
      <c r="AB48" s="99"/>
      <c r="AC48" s="113"/>
      <c r="AD48" s="113"/>
      <c r="AE48" s="114"/>
      <c r="AF48" s="112">
        <v>35.849056603773583</v>
      </c>
      <c r="AG48" s="115"/>
      <c r="AH48" s="99"/>
      <c r="AI48" s="113"/>
      <c r="AJ48" s="113"/>
      <c r="AK48" s="114"/>
      <c r="AL48" s="99"/>
      <c r="AM48" s="99"/>
      <c r="AN48" s="99"/>
      <c r="AO48" s="113"/>
      <c r="AP48" s="113"/>
      <c r="AQ48" s="114"/>
      <c r="AR48" s="99"/>
      <c r="AS48" s="99"/>
      <c r="AT48" s="99"/>
      <c r="AU48" s="113"/>
      <c r="AV48" s="113"/>
      <c r="AW48" s="114"/>
      <c r="AX48" s="101"/>
      <c r="AY48" s="116"/>
      <c r="AZ48" s="117"/>
      <c r="BA48" s="116"/>
      <c r="BB48" s="117"/>
      <c r="BC48" s="118"/>
    </row>
    <row r="49" spans="1:55">
      <c r="A49" s="122" t="s">
        <v>517</v>
      </c>
      <c r="B49" s="106">
        <v>83.196721311475414</v>
      </c>
      <c r="C49" s="107">
        <v>97.435897435897431</v>
      </c>
      <c r="D49" s="107"/>
      <c r="E49" s="92"/>
      <c r="F49" s="107"/>
      <c r="G49" s="108"/>
      <c r="H49" s="94"/>
      <c r="I49" s="107"/>
      <c r="J49" s="107"/>
      <c r="K49" s="92"/>
      <c r="L49" s="107"/>
      <c r="M49" s="108"/>
      <c r="N49" s="109">
        <v>83.196721311475414</v>
      </c>
      <c r="O49" s="107">
        <v>97.435897435897431</v>
      </c>
      <c r="P49" s="107"/>
      <c r="Q49" s="110"/>
      <c r="R49" s="107"/>
      <c r="S49" s="108"/>
      <c r="T49" s="109"/>
      <c r="U49" s="107"/>
      <c r="V49" s="107"/>
      <c r="W49" s="110"/>
      <c r="X49" s="110"/>
      <c r="Y49" s="111"/>
      <c r="Z49" s="112"/>
      <c r="AA49" s="98"/>
      <c r="AB49" s="99"/>
      <c r="AC49" s="113"/>
      <c r="AD49" s="113"/>
      <c r="AE49" s="114"/>
      <c r="AF49" s="112"/>
      <c r="AG49" s="115"/>
      <c r="AH49" s="99"/>
      <c r="AI49" s="113"/>
      <c r="AJ49" s="113"/>
      <c r="AK49" s="114"/>
      <c r="AL49" s="99"/>
      <c r="AM49" s="99"/>
      <c r="AN49" s="99"/>
      <c r="AO49" s="113"/>
      <c r="AP49" s="113"/>
      <c r="AQ49" s="114"/>
      <c r="AR49" s="99"/>
      <c r="AS49" s="99"/>
      <c r="AT49" s="99"/>
      <c r="AU49" s="113"/>
      <c r="AV49" s="113"/>
      <c r="AW49" s="114"/>
      <c r="AX49" s="101"/>
      <c r="AY49" s="116"/>
      <c r="AZ49" s="117"/>
      <c r="BA49" s="116"/>
      <c r="BB49" s="117"/>
      <c r="BC49" s="118"/>
    </row>
    <row r="50" spans="1:55">
      <c r="A50" s="122" t="s">
        <v>518</v>
      </c>
      <c r="B50" s="106">
        <v>82.916666666666671</v>
      </c>
      <c r="C50" s="107">
        <v>97.435897435897431</v>
      </c>
      <c r="D50" s="107">
        <v>60.256410256410255</v>
      </c>
      <c r="E50" s="92">
        <v>82.352941176470594</v>
      </c>
      <c r="F50" s="107"/>
      <c r="G50" s="108"/>
      <c r="H50" s="94">
        <v>82.916666666666671</v>
      </c>
      <c r="I50" s="107">
        <v>97.435897435897431</v>
      </c>
      <c r="J50" s="107">
        <v>60.256410256410255</v>
      </c>
      <c r="K50" s="92">
        <v>82.352941176470594</v>
      </c>
      <c r="L50" s="107"/>
      <c r="M50" s="108"/>
      <c r="N50" s="109"/>
      <c r="O50" s="107"/>
      <c r="P50" s="107"/>
      <c r="Q50" s="110"/>
      <c r="R50" s="107"/>
      <c r="S50" s="108"/>
      <c r="T50" s="109"/>
      <c r="U50" s="107"/>
      <c r="V50" s="107"/>
      <c r="W50" s="110"/>
      <c r="X50" s="110"/>
      <c r="Y50" s="111"/>
      <c r="Z50" s="112">
        <v>85.593220338983045</v>
      </c>
      <c r="AA50" s="98"/>
      <c r="AB50" s="99"/>
      <c r="AC50" s="113"/>
      <c r="AD50" s="113"/>
      <c r="AE50" s="114"/>
      <c r="AF50" s="112">
        <v>85.593220338983045</v>
      </c>
      <c r="AG50" s="115"/>
      <c r="AH50" s="99"/>
      <c r="AI50" s="113"/>
      <c r="AJ50" s="113"/>
      <c r="AK50" s="114"/>
      <c r="AL50" s="99"/>
      <c r="AM50" s="99"/>
      <c r="AN50" s="99"/>
      <c r="AO50" s="113"/>
      <c r="AP50" s="113"/>
      <c r="AQ50" s="114"/>
      <c r="AR50" s="99"/>
      <c r="AS50" s="99"/>
      <c r="AT50" s="99"/>
      <c r="AU50" s="113"/>
      <c r="AV50" s="113"/>
      <c r="AW50" s="114"/>
      <c r="AX50" s="101"/>
      <c r="AY50" s="116"/>
      <c r="AZ50" s="117"/>
      <c r="BA50" s="116"/>
      <c r="BB50" s="117"/>
      <c r="BC50" s="118"/>
    </row>
    <row r="51" spans="1:55">
      <c r="A51" s="122" t="s">
        <v>519</v>
      </c>
      <c r="B51" s="106">
        <v>82.786885245901644</v>
      </c>
      <c r="C51" s="107">
        <v>75.675675675675677</v>
      </c>
      <c r="D51" s="107"/>
      <c r="E51" s="92"/>
      <c r="F51" s="107"/>
      <c r="G51" s="108"/>
      <c r="H51" s="94"/>
      <c r="I51" s="107"/>
      <c r="J51" s="107"/>
      <c r="K51" s="92"/>
      <c r="L51" s="107"/>
      <c r="M51" s="108"/>
      <c r="N51" s="109">
        <v>82.786885245901644</v>
      </c>
      <c r="O51" s="107">
        <v>75.675675675675677</v>
      </c>
      <c r="P51" s="107"/>
      <c r="Q51" s="110"/>
      <c r="R51" s="107"/>
      <c r="S51" s="108"/>
      <c r="T51" s="109"/>
      <c r="U51" s="107"/>
      <c r="V51" s="107"/>
      <c r="W51" s="110"/>
      <c r="X51" s="110"/>
      <c r="Y51" s="111"/>
      <c r="Z51" s="112"/>
      <c r="AA51" s="98"/>
      <c r="AB51" s="99"/>
      <c r="AC51" s="113"/>
      <c r="AD51" s="113"/>
      <c r="AE51" s="114"/>
      <c r="AF51" s="112"/>
      <c r="AG51" s="115"/>
      <c r="AH51" s="99"/>
      <c r="AI51" s="113"/>
      <c r="AJ51" s="113"/>
      <c r="AK51" s="114"/>
      <c r="AL51" s="99"/>
      <c r="AM51" s="99"/>
      <c r="AN51" s="99"/>
      <c r="AO51" s="113"/>
      <c r="AP51" s="113"/>
      <c r="AQ51" s="114"/>
      <c r="AR51" s="99"/>
      <c r="AS51" s="99"/>
      <c r="AT51" s="99"/>
      <c r="AU51" s="113"/>
      <c r="AV51" s="113"/>
      <c r="AW51" s="114"/>
      <c r="AX51" s="101"/>
      <c r="AY51" s="116"/>
      <c r="AZ51" s="117"/>
      <c r="BA51" s="116"/>
      <c r="BB51" s="117"/>
      <c r="BC51" s="118"/>
    </row>
    <row r="52" spans="1:55">
      <c r="A52" s="122" t="s">
        <v>520</v>
      </c>
      <c r="B52" s="106">
        <v>82.786885245901644</v>
      </c>
      <c r="C52" s="107">
        <v>97.435897435897431</v>
      </c>
      <c r="D52" s="107">
        <v>73.07692307692308</v>
      </c>
      <c r="E52" s="92">
        <v>93.055555555555557</v>
      </c>
      <c r="F52" s="107"/>
      <c r="G52" s="108"/>
      <c r="H52" s="94">
        <v>82.786885245901644</v>
      </c>
      <c r="I52" s="107">
        <v>97.435897435897431</v>
      </c>
      <c r="J52" s="107">
        <v>73.07692307692308</v>
      </c>
      <c r="K52" s="92">
        <v>93.055555555555557</v>
      </c>
      <c r="L52" s="107"/>
      <c r="M52" s="108"/>
      <c r="N52" s="109"/>
      <c r="O52" s="107"/>
      <c r="P52" s="107"/>
      <c r="Q52" s="110"/>
      <c r="R52" s="107"/>
      <c r="S52" s="108"/>
      <c r="T52" s="109"/>
      <c r="U52" s="107"/>
      <c r="V52" s="107"/>
      <c r="W52" s="110"/>
      <c r="X52" s="110"/>
      <c r="Y52" s="111"/>
      <c r="Z52" s="112">
        <v>91.228070175438603</v>
      </c>
      <c r="AA52" s="98"/>
      <c r="AB52" s="99"/>
      <c r="AC52" s="113"/>
      <c r="AD52" s="113"/>
      <c r="AE52" s="114"/>
      <c r="AF52" s="112">
        <v>91.228070175438603</v>
      </c>
      <c r="AG52" s="115"/>
      <c r="AH52" s="99"/>
      <c r="AI52" s="113"/>
      <c r="AJ52" s="113"/>
      <c r="AK52" s="114"/>
      <c r="AL52" s="99"/>
      <c r="AM52" s="99"/>
      <c r="AN52" s="99"/>
      <c r="AO52" s="113"/>
      <c r="AP52" s="113"/>
      <c r="AQ52" s="114"/>
      <c r="AR52" s="99"/>
      <c r="AS52" s="99"/>
      <c r="AT52" s="99"/>
      <c r="AU52" s="113"/>
      <c r="AV52" s="113"/>
      <c r="AW52" s="114"/>
      <c r="AX52" s="101"/>
      <c r="AY52" s="116"/>
      <c r="AZ52" s="117"/>
      <c r="BA52" s="116"/>
      <c r="BB52" s="117"/>
      <c r="BC52" s="118"/>
    </row>
    <row r="53" spans="1:55">
      <c r="A53" s="122" t="s">
        <v>521</v>
      </c>
      <c r="B53" s="106">
        <v>82.172131147540981</v>
      </c>
      <c r="C53" s="107">
        <v>86.25</v>
      </c>
      <c r="D53" s="107">
        <v>70.512820512820511</v>
      </c>
      <c r="E53" s="92">
        <v>90.410958904109592</v>
      </c>
      <c r="F53" s="107"/>
      <c r="G53" s="108"/>
      <c r="H53" s="94">
        <v>82.172131147540981</v>
      </c>
      <c r="I53" s="107">
        <v>86.25</v>
      </c>
      <c r="J53" s="107">
        <v>70.512820512820511</v>
      </c>
      <c r="K53" s="92">
        <v>90.410958904109592</v>
      </c>
      <c r="L53" s="107"/>
      <c r="M53" s="108"/>
      <c r="N53" s="109"/>
      <c r="O53" s="107"/>
      <c r="P53" s="107"/>
      <c r="Q53" s="110"/>
      <c r="R53" s="107"/>
      <c r="S53" s="108"/>
      <c r="T53" s="109"/>
      <c r="U53" s="107"/>
      <c r="V53" s="107"/>
      <c r="W53" s="110"/>
      <c r="X53" s="110"/>
      <c r="Y53" s="111"/>
      <c r="Z53" s="112">
        <v>87.931034482758619</v>
      </c>
      <c r="AA53" s="98">
        <v>82.142857142857139</v>
      </c>
      <c r="AB53" s="99"/>
      <c r="AC53" s="113"/>
      <c r="AD53" s="113"/>
      <c r="AE53" s="114"/>
      <c r="AF53" s="112">
        <v>87.931034482758619</v>
      </c>
      <c r="AG53" s="115">
        <v>82.142857142857139</v>
      </c>
      <c r="AH53" s="99"/>
      <c r="AI53" s="113"/>
      <c r="AJ53" s="113"/>
      <c r="AK53" s="114"/>
      <c r="AL53" s="99"/>
      <c r="AM53" s="99"/>
      <c r="AN53" s="99"/>
      <c r="AO53" s="113"/>
      <c r="AP53" s="113"/>
      <c r="AQ53" s="114"/>
      <c r="AR53" s="99"/>
      <c r="AS53" s="99"/>
      <c r="AT53" s="99"/>
      <c r="AU53" s="113"/>
      <c r="AV53" s="113"/>
      <c r="AW53" s="114"/>
      <c r="AX53" s="101"/>
      <c r="AY53" s="116"/>
      <c r="AZ53" s="117"/>
      <c r="BA53" s="116"/>
      <c r="BB53" s="117"/>
      <c r="BC53" s="118"/>
    </row>
    <row r="54" spans="1:55">
      <c r="A54" s="122" t="s">
        <v>522</v>
      </c>
      <c r="B54" s="106">
        <v>81.976744186046517</v>
      </c>
      <c r="C54" s="107">
        <v>85.625</v>
      </c>
      <c r="D54" s="107"/>
      <c r="E54" s="92"/>
      <c r="F54" s="107"/>
      <c r="G54" s="108"/>
      <c r="H54" s="94"/>
      <c r="I54" s="107"/>
      <c r="J54" s="107"/>
      <c r="K54" s="92"/>
      <c r="L54" s="107"/>
      <c r="M54" s="108"/>
      <c r="N54" s="109"/>
      <c r="O54" s="107"/>
      <c r="P54" s="107"/>
      <c r="Q54" s="110"/>
      <c r="R54" s="107"/>
      <c r="S54" s="108"/>
      <c r="T54" s="109">
        <v>81.976744186046517</v>
      </c>
      <c r="U54" s="107">
        <v>85.625</v>
      </c>
      <c r="V54" s="107"/>
      <c r="W54" s="110"/>
      <c r="X54" s="110"/>
      <c r="Y54" s="111"/>
      <c r="Z54" s="112"/>
      <c r="AA54" s="98"/>
      <c r="AB54" s="99"/>
      <c r="AC54" s="113"/>
      <c r="AD54" s="113"/>
      <c r="AE54" s="114"/>
      <c r="AF54" s="112"/>
      <c r="AG54" s="115"/>
      <c r="AH54" s="99"/>
      <c r="AI54" s="113"/>
      <c r="AJ54" s="113"/>
      <c r="AK54" s="114"/>
      <c r="AL54" s="99"/>
      <c r="AM54" s="99"/>
      <c r="AN54" s="99"/>
      <c r="AO54" s="113"/>
      <c r="AP54" s="113"/>
      <c r="AQ54" s="114"/>
      <c r="AR54" s="99"/>
      <c r="AS54" s="99"/>
      <c r="AT54" s="99"/>
      <c r="AU54" s="113"/>
      <c r="AV54" s="113"/>
      <c r="AW54" s="114"/>
      <c r="AX54" s="101"/>
      <c r="AY54" s="116"/>
      <c r="AZ54" s="117"/>
      <c r="BA54" s="116"/>
      <c r="BB54" s="117"/>
      <c r="BC54" s="118"/>
    </row>
    <row r="55" spans="1:55">
      <c r="A55" s="122" t="s">
        <v>523</v>
      </c>
      <c r="B55" s="106">
        <v>81.779661016949149</v>
      </c>
      <c r="C55" s="107">
        <v>93.243243243243242</v>
      </c>
      <c r="D55" s="107">
        <v>78.205128205128204</v>
      </c>
      <c r="E55" s="92"/>
      <c r="F55" s="107"/>
      <c r="G55" s="108"/>
      <c r="H55" s="94"/>
      <c r="I55" s="107"/>
      <c r="J55" s="107"/>
      <c r="K55" s="92"/>
      <c r="L55" s="107"/>
      <c r="M55" s="108"/>
      <c r="N55" s="109">
        <v>81.779661016949149</v>
      </c>
      <c r="O55" s="107">
        <v>93.243243243243242</v>
      </c>
      <c r="P55" s="107">
        <v>78.205128205128204</v>
      </c>
      <c r="Q55" s="110"/>
      <c r="R55" s="107"/>
      <c r="S55" s="108"/>
      <c r="T55" s="109"/>
      <c r="U55" s="107"/>
      <c r="V55" s="107"/>
      <c r="W55" s="110"/>
      <c r="X55" s="110"/>
      <c r="Y55" s="111"/>
      <c r="Z55" s="112"/>
      <c r="AA55" s="98"/>
      <c r="AB55" s="99"/>
      <c r="AC55" s="113"/>
      <c r="AD55" s="113"/>
      <c r="AE55" s="114"/>
      <c r="AF55" s="112"/>
      <c r="AG55" s="115"/>
      <c r="AH55" s="99"/>
      <c r="AI55" s="113"/>
      <c r="AJ55" s="113"/>
      <c r="AK55" s="114"/>
      <c r="AL55" s="99"/>
      <c r="AM55" s="99"/>
      <c r="AN55" s="99"/>
      <c r="AO55" s="113"/>
      <c r="AP55" s="113"/>
      <c r="AQ55" s="114"/>
      <c r="AR55" s="99"/>
      <c r="AS55" s="99"/>
      <c r="AT55" s="99"/>
      <c r="AU55" s="113"/>
      <c r="AV55" s="113"/>
      <c r="AW55" s="114"/>
      <c r="AX55" s="101"/>
      <c r="AY55" s="116"/>
      <c r="AZ55" s="117"/>
      <c r="BA55" s="116"/>
      <c r="BB55" s="117"/>
      <c r="BC55" s="118"/>
    </row>
    <row r="56" spans="1:55">
      <c r="A56" s="122" t="s">
        <v>524</v>
      </c>
      <c r="B56" s="106">
        <v>81.798245614035082</v>
      </c>
      <c r="C56" s="107">
        <v>17.857142857142858</v>
      </c>
      <c r="D56" s="107">
        <v>32.236842105263158</v>
      </c>
      <c r="E56" s="92">
        <v>93.918918918918919</v>
      </c>
      <c r="F56" s="107"/>
      <c r="G56" s="108"/>
      <c r="H56" s="94">
        <v>81.798245614035082</v>
      </c>
      <c r="I56" s="107">
        <v>17.857142857142858</v>
      </c>
      <c r="J56" s="107">
        <v>32.236842105263158</v>
      </c>
      <c r="K56" s="92">
        <v>93.918918918918919</v>
      </c>
      <c r="L56" s="107"/>
      <c r="M56" s="108"/>
      <c r="N56" s="109"/>
      <c r="O56" s="107"/>
      <c r="P56" s="107"/>
      <c r="Q56" s="110"/>
      <c r="R56" s="107"/>
      <c r="S56" s="108"/>
      <c r="T56" s="109"/>
      <c r="U56" s="107"/>
      <c r="V56" s="107"/>
      <c r="W56" s="110"/>
      <c r="X56" s="110"/>
      <c r="Y56" s="111"/>
      <c r="Z56" s="112">
        <v>37.5</v>
      </c>
      <c r="AA56" s="98">
        <v>86.964285714285708</v>
      </c>
      <c r="AB56" s="99"/>
      <c r="AC56" s="113"/>
      <c r="AD56" s="113"/>
      <c r="AE56" s="114"/>
      <c r="AF56" s="112">
        <v>37.5</v>
      </c>
      <c r="AG56" s="115">
        <v>86.964285714285708</v>
      </c>
      <c r="AH56" s="99"/>
      <c r="AI56" s="113"/>
      <c r="AJ56" s="113"/>
      <c r="AK56" s="114"/>
      <c r="AL56" s="99"/>
      <c r="AM56" s="99"/>
      <c r="AN56" s="99"/>
      <c r="AO56" s="113"/>
      <c r="AP56" s="113"/>
      <c r="AQ56" s="114"/>
      <c r="AR56" s="99"/>
      <c r="AS56" s="99"/>
      <c r="AT56" s="99"/>
      <c r="AU56" s="113"/>
      <c r="AV56" s="113"/>
      <c r="AW56" s="114"/>
      <c r="AX56" s="101"/>
      <c r="AY56" s="116"/>
      <c r="AZ56" s="117"/>
      <c r="BA56" s="116"/>
      <c r="BB56" s="117"/>
      <c r="BC56" s="118"/>
    </row>
    <row r="57" spans="1:55">
      <c r="A57" s="122" t="s">
        <v>525</v>
      </c>
      <c r="B57" s="106">
        <v>81.722689075630257</v>
      </c>
      <c r="C57" s="107">
        <v>74.375</v>
      </c>
      <c r="D57" s="107"/>
      <c r="E57" s="92"/>
      <c r="F57" s="107"/>
      <c r="G57" s="108"/>
      <c r="H57" s="94"/>
      <c r="I57" s="107"/>
      <c r="J57" s="107"/>
      <c r="K57" s="92"/>
      <c r="L57" s="107"/>
      <c r="M57" s="108"/>
      <c r="N57" s="109">
        <v>81.722689075630257</v>
      </c>
      <c r="O57" s="107">
        <v>74.375</v>
      </c>
      <c r="P57" s="107"/>
      <c r="Q57" s="110"/>
      <c r="R57" s="107"/>
      <c r="S57" s="108"/>
      <c r="T57" s="109"/>
      <c r="U57" s="107"/>
      <c r="V57" s="107"/>
      <c r="W57" s="110"/>
      <c r="X57" s="110"/>
      <c r="Y57" s="111"/>
      <c r="Z57" s="112"/>
      <c r="AA57" s="98"/>
      <c r="AB57" s="99"/>
      <c r="AC57" s="113"/>
      <c r="AD57" s="113"/>
      <c r="AE57" s="114"/>
      <c r="AF57" s="112"/>
      <c r="AG57" s="115"/>
      <c r="AH57" s="99"/>
      <c r="AI57" s="113"/>
      <c r="AJ57" s="113"/>
      <c r="AK57" s="114"/>
      <c r="AL57" s="99"/>
      <c r="AM57" s="99"/>
      <c r="AN57" s="99"/>
      <c r="AO57" s="113"/>
      <c r="AP57" s="113"/>
      <c r="AQ57" s="114"/>
      <c r="AR57" s="99"/>
      <c r="AS57" s="99"/>
      <c r="AT57" s="99"/>
      <c r="AU57" s="113"/>
      <c r="AV57" s="113"/>
      <c r="AW57" s="114"/>
      <c r="AX57" s="101"/>
      <c r="AY57" s="116"/>
      <c r="AZ57" s="117"/>
      <c r="BA57" s="116"/>
      <c r="BB57" s="117"/>
      <c r="BC57" s="118"/>
    </row>
    <row r="58" spans="1:55">
      <c r="A58" s="122" t="s">
        <v>526</v>
      </c>
      <c r="B58" s="106">
        <v>81.653225806451616</v>
      </c>
      <c r="C58" s="107">
        <v>55.555555555555557</v>
      </c>
      <c r="D58" s="107"/>
      <c r="E58" s="92"/>
      <c r="F58" s="107"/>
      <c r="G58" s="108"/>
      <c r="H58" s="94"/>
      <c r="I58" s="107"/>
      <c r="J58" s="107"/>
      <c r="K58" s="92"/>
      <c r="L58" s="107"/>
      <c r="M58" s="108"/>
      <c r="N58" s="109">
        <v>81.653225806451616</v>
      </c>
      <c r="O58" s="107">
        <v>55.555555555555557</v>
      </c>
      <c r="P58" s="107"/>
      <c r="Q58" s="110"/>
      <c r="R58" s="107"/>
      <c r="S58" s="108"/>
      <c r="T58" s="109"/>
      <c r="U58" s="107"/>
      <c r="V58" s="107"/>
      <c r="W58" s="110"/>
      <c r="X58" s="110"/>
      <c r="Y58" s="111"/>
      <c r="Z58" s="112"/>
      <c r="AA58" s="98"/>
      <c r="AB58" s="99"/>
      <c r="AC58" s="113"/>
      <c r="AD58" s="113"/>
      <c r="AE58" s="114"/>
      <c r="AF58" s="112"/>
      <c r="AG58" s="115"/>
      <c r="AH58" s="99"/>
      <c r="AI58" s="113"/>
      <c r="AJ58" s="113"/>
      <c r="AK58" s="114"/>
      <c r="AL58" s="99"/>
      <c r="AM58" s="99"/>
      <c r="AN58" s="99"/>
      <c r="AO58" s="113"/>
      <c r="AP58" s="113"/>
      <c r="AQ58" s="114"/>
      <c r="AR58" s="99"/>
      <c r="AS58" s="99"/>
      <c r="AT58" s="99"/>
      <c r="AU58" s="113"/>
      <c r="AV58" s="113"/>
      <c r="AW58" s="114"/>
      <c r="AX58" s="101"/>
      <c r="AY58" s="116"/>
      <c r="AZ58" s="117"/>
      <c r="BA58" s="116"/>
      <c r="BB58" s="117"/>
      <c r="BC58" s="118"/>
    </row>
    <row r="59" spans="1:55">
      <c r="A59" s="122" t="s">
        <v>527</v>
      </c>
      <c r="B59" s="106">
        <v>81.547619047619051</v>
      </c>
      <c r="C59" s="107">
        <v>87.179487179487182</v>
      </c>
      <c r="D59" s="107">
        <v>94.047619047619051</v>
      </c>
      <c r="E59" s="92">
        <v>86.805555555555557</v>
      </c>
      <c r="F59" s="107"/>
      <c r="G59" s="108"/>
      <c r="H59" s="94">
        <v>81.547619047619051</v>
      </c>
      <c r="I59" s="107">
        <v>87.179487179487182</v>
      </c>
      <c r="J59" s="107">
        <v>94.047619047619051</v>
      </c>
      <c r="K59" s="92">
        <v>86.805555555555557</v>
      </c>
      <c r="L59" s="107"/>
      <c r="M59" s="108"/>
      <c r="N59" s="109"/>
      <c r="O59" s="107"/>
      <c r="P59" s="107"/>
      <c r="Q59" s="110"/>
      <c r="R59" s="107"/>
      <c r="S59" s="108"/>
      <c r="T59" s="109"/>
      <c r="U59" s="107"/>
      <c r="V59" s="107"/>
      <c r="W59" s="110"/>
      <c r="X59" s="110"/>
      <c r="Y59" s="111"/>
      <c r="Z59" s="112">
        <v>31.545454545454547</v>
      </c>
      <c r="AA59" s="98">
        <v>10</v>
      </c>
      <c r="AB59" s="99"/>
      <c r="AC59" s="113"/>
      <c r="AD59" s="113"/>
      <c r="AE59" s="114"/>
      <c r="AF59" s="112">
        <v>31.545454545454547</v>
      </c>
      <c r="AG59" s="115">
        <v>10</v>
      </c>
      <c r="AH59" s="99"/>
      <c r="AI59" s="113"/>
      <c r="AJ59" s="113"/>
      <c r="AK59" s="114"/>
      <c r="AL59" s="99"/>
      <c r="AM59" s="99"/>
      <c r="AN59" s="99"/>
      <c r="AO59" s="113"/>
      <c r="AP59" s="113"/>
      <c r="AQ59" s="114"/>
      <c r="AR59" s="99"/>
      <c r="AS59" s="99"/>
      <c r="AT59" s="99"/>
      <c r="AU59" s="113"/>
      <c r="AV59" s="113"/>
      <c r="AW59" s="114"/>
      <c r="AX59" s="101"/>
      <c r="AY59" s="116"/>
      <c r="AZ59" s="117"/>
      <c r="BA59" s="116"/>
      <c r="BB59" s="117"/>
      <c r="BC59" s="118"/>
    </row>
    <row r="60" spans="1:55">
      <c r="A60" s="122" t="s">
        <v>528</v>
      </c>
      <c r="B60" s="106">
        <v>81.395348837209298</v>
      </c>
      <c r="C60" s="107">
        <v>27.702702702702702</v>
      </c>
      <c r="D60" s="107"/>
      <c r="E60" s="92"/>
      <c r="F60" s="107"/>
      <c r="G60" s="108"/>
      <c r="H60" s="94"/>
      <c r="I60" s="107"/>
      <c r="J60" s="107"/>
      <c r="K60" s="92"/>
      <c r="L60" s="107"/>
      <c r="M60" s="108"/>
      <c r="N60" s="109"/>
      <c r="O60" s="107"/>
      <c r="P60" s="107"/>
      <c r="Q60" s="110"/>
      <c r="R60" s="107"/>
      <c r="S60" s="108"/>
      <c r="T60" s="109">
        <v>81.395348837209298</v>
      </c>
      <c r="U60" s="107">
        <v>27.702702702702702</v>
      </c>
      <c r="V60" s="107"/>
      <c r="W60" s="110"/>
      <c r="X60" s="110"/>
      <c r="Y60" s="111"/>
      <c r="Z60" s="112"/>
      <c r="AA60" s="98"/>
      <c r="AB60" s="99"/>
      <c r="AC60" s="113"/>
      <c r="AD60" s="113"/>
      <c r="AE60" s="114"/>
      <c r="AF60" s="112"/>
      <c r="AG60" s="115"/>
      <c r="AH60" s="99"/>
      <c r="AI60" s="113"/>
      <c r="AJ60" s="113"/>
      <c r="AK60" s="114"/>
      <c r="AL60" s="99"/>
      <c r="AM60" s="99"/>
      <c r="AN60" s="99"/>
      <c r="AO60" s="113"/>
      <c r="AP60" s="113"/>
      <c r="AQ60" s="114"/>
      <c r="AR60" s="99"/>
      <c r="AS60" s="99"/>
      <c r="AT60" s="99"/>
      <c r="AU60" s="113"/>
      <c r="AV60" s="113"/>
      <c r="AW60" s="114"/>
      <c r="AX60" s="101"/>
      <c r="AY60" s="116"/>
      <c r="AZ60" s="117"/>
      <c r="BA60" s="116"/>
      <c r="BB60" s="117"/>
      <c r="BC60" s="118"/>
    </row>
    <row r="61" spans="1:55">
      <c r="A61" s="122" t="s">
        <v>529</v>
      </c>
      <c r="B61" s="106">
        <v>81.198347107438011</v>
      </c>
      <c r="C61" s="107">
        <v>42.307692307692307</v>
      </c>
      <c r="D61" s="107"/>
      <c r="E61" s="92"/>
      <c r="F61" s="107"/>
      <c r="G61" s="108"/>
      <c r="H61" s="94"/>
      <c r="I61" s="107"/>
      <c r="J61" s="107"/>
      <c r="K61" s="92"/>
      <c r="L61" s="107"/>
      <c r="M61" s="108"/>
      <c r="N61" s="109">
        <v>81.198347107438011</v>
      </c>
      <c r="O61" s="107">
        <v>42.307692307692307</v>
      </c>
      <c r="P61" s="107"/>
      <c r="Q61" s="110"/>
      <c r="R61" s="107"/>
      <c r="S61" s="108"/>
      <c r="T61" s="109"/>
      <c r="U61" s="107"/>
      <c r="V61" s="107"/>
      <c r="W61" s="110"/>
      <c r="X61" s="110"/>
      <c r="Y61" s="111"/>
      <c r="Z61" s="112"/>
      <c r="AA61" s="98"/>
      <c r="AB61" s="99"/>
      <c r="AC61" s="113"/>
      <c r="AD61" s="113"/>
      <c r="AE61" s="114"/>
      <c r="AF61" s="112"/>
      <c r="AG61" s="115"/>
      <c r="AH61" s="99"/>
      <c r="AI61" s="113"/>
      <c r="AJ61" s="113"/>
      <c r="AK61" s="114"/>
      <c r="AL61" s="99"/>
      <c r="AM61" s="99"/>
      <c r="AN61" s="99"/>
      <c r="AO61" s="113"/>
      <c r="AP61" s="113"/>
      <c r="AQ61" s="114"/>
      <c r="AR61" s="99"/>
      <c r="AS61" s="99"/>
      <c r="AT61" s="99"/>
      <c r="AU61" s="113"/>
      <c r="AV61" s="113"/>
      <c r="AW61" s="114"/>
      <c r="AX61" s="101"/>
      <c r="AY61" s="116"/>
      <c r="AZ61" s="117"/>
      <c r="BA61" s="116"/>
      <c r="BB61" s="117"/>
      <c r="BC61" s="118"/>
    </row>
    <row r="62" spans="1:55">
      <c r="A62" s="122" t="s">
        <v>530</v>
      </c>
      <c r="B62" s="106">
        <v>81.196581196581192</v>
      </c>
      <c r="C62" s="107">
        <v>82.432432432432435</v>
      </c>
      <c r="D62" s="107"/>
      <c r="E62" s="92"/>
      <c r="F62" s="107"/>
      <c r="G62" s="108"/>
      <c r="H62" s="94"/>
      <c r="I62" s="107"/>
      <c r="J62" s="107"/>
      <c r="K62" s="92"/>
      <c r="L62" s="107"/>
      <c r="M62" s="108"/>
      <c r="N62" s="109">
        <v>81.196581196581192</v>
      </c>
      <c r="O62" s="107">
        <v>82.432432432432435</v>
      </c>
      <c r="P62" s="107"/>
      <c r="Q62" s="110"/>
      <c r="R62" s="107"/>
      <c r="S62" s="108"/>
      <c r="T62" s="109"/>
      <c r="U62" s="107"/>
      <c r="V62" s="107"/>
      <c r="W62" s="110"/>
      <c r="X62" s="110"/>
      <c r="Y62" s="111"/>
      <c r="Z62" s="112"/>
      <c r="AA62" s="98"/>
      <c r="AB62" s="99"/>
      <c r="AC62" s="113"/>
      <c r="AD62" s="113"/>
      <c r="AE62" s="114"/>
      <c r="AF62" s="112"/>
      <c r="AG62" s="115"/>
      <c r="AH62" s="99"/>
      <c r="AI62" s="113"/>
      <c r="AJ62" s="113"/>
      <c r="AK62" s="114"/>
      <c r="AL62" s="99"/>
      <c r="AM62" s="99"/>
      <c r="AN62" s="99"/>
      <c r="AO62" s="113"/>
      <c r="AP62" s="113"/>
      <c r="AQ62" s="114"/>
      <c r="AR62" s="99"/>
      <c r="AS62" s="99"/>
      <c r="AT62" s="99"/>
      <c r="AU62" s="113"/>
      <c r="AV62" s="113"/>
      <c r="AW62" s="114"/>
      <c r="AX62" s="101"/>
      <c r="AY62" s="116"/>
      <c r="AZ62" s="117"/>
      <c r="BA62" s="116"/>
      <c r="BB62" s="117"/>
      <c r="BC62" s="118"/>
    </row>
    <row r="63" spans="1:55">
      <c r="A63" s="122" t="s">
        <v>531</v>
      </c>
      <c r="B63" s="106">
        <v>81.147540983606561</v>
      </c>
      <c r="C63" s="107">
        <v>82.692307692307693</v>
      </c>
      <c r="D63" s="107">
        <v>71.794871794871796</v>
      </c>
      <c r="E63" s="92"/>
      <c r="F63" s="107"/>
      <c r="G63" s="108"/>
      <c r="H63" s="94"/>
      <c r="I63" s="107"/>
      <c r="J63" s="107"/>
      <c r="K63" s="92"/>
      <c r="L63" s="107"/>
      <c r="M63" s="108"/>
      <c r="N63" s="109">
        <v>81.147540983606561</v>
      </c>
      <c r="O63" s="107">
        <v>82.692307692307693</v>
      </c>
      <c r="P63" s="107">
        <v>71.794871794871796</v>
      </c>
      <c r="Q63" s="110"/>
      <c r="R63" s="107"/>
      <c r="S63" s="108"/>
      <c r="T63" s="109"/>
      <c r="U63" s="107"/>
      <c r="V63" s="107"/>
      <c r="W63" s="110"/>
      <c r="X63" s="110"/>
      <c r="Y63" s="111"/>
      <c r="Z63" s="112"/>
      <c r="AA63" s="98"/>
      <c r="AB63" s="99"/>
      <c r="AC63" s="113"/>
      <c r="AD63" s="113"/>
      <c r="AE63" s="114"/>
      <c r="AF63" s="112"/>
      <c r="AG63" s="115"/>
      <c r="AH63" s="99"/>
      <c r="AI63" s="113"/>
      <c r="AJ63" s="113"/>
      <c r="AK63" s="114"/>
      <c r="AL63" s="99"/>
      <c r="AM63" s="99"/>
      <c r="AN63" s="99"/>
      <c r="AO63" s="113"/>
      <c r="AP63" s="113"/>
      <c r="AQ63" s="114"/>
      <c r="AR63" s="99"/>
      <c r="AS63" s="99"/>
      <c r="AT63" s="99"/>
      <c r="AU63" s="113"/>
      <c r="AV63" s="113"/>
      <c r="AW63" s="114"/>
      <c r="AX63" s="101"/>
      <c r="AY63" s="116"/>
      <c r="AZ63" s="117"/>
      <c r="BA63" s="116"/>
      <c r="BB63" s="117"/>
      <c r="BC63" s="118"/>
    </row>
    <row r="64" spans="1:55">
      <c r="A64" s="122" t="s">
        <v>532</v>
      </c>
      <c r="B64" s="106">
        <v>81.092436974789919</v>
      </c>
      <c r="C64" s="107">
        <v>65.972222222222229</v>
      </c>
      <c r="D64" s="107">
        <v>76.315789473684205</v>
      </c>
      <c r="E64" s="92"/>
      <c r="F64" s="107"/>
      <c r="G64" s="108"/>
      <c r="H64" s="94">
        <v>81.092436974789919</v>
      </c>
      <c r="I64" s="107">
        <v>65.972222222222229</v>
      </c>
      <c r="J64" s="107">
        <v>76.315789473684205</v>
      </c>
      <c r="K64" s="92"/>
      <c r="L64" s="107"/>
      <c r="M64" s="108"/>
      <c r="N64" s="109"/>
      <c r="O64" s="107"/>
      <c r="P64" s="107"/>
      <c r="Q64" s="110"/>
      <c r="R64" s="107"/>
      <c r="S64" s="108"/>
      <c r="T64" s="109"/>
      <c r="U64" s="107"/>
      <c r="V64" s="107"/>
      <c r="W64" s="110"/>
      <c r="X64" s="110"/>
      <c r="Y64" s="111"/>
      <c r="Z64" s="112">
        <v>59.649122807017541</v>
      </c>
      <c r="AA64" s="98"/>
      <c r="AB64" s="99"/>
      <c r="AC64" s="113"/>
      <c r="AD64" s="113"/>
      <c r="AE64" s="114"/>
      <c r="AF64" s="112">
        <v>59.649122807017541</v>
      </c>
      <c r="AG64" s="115"/>
      <c r="AH64" s="99"/>
      <c r="AI64" s="113"/>
      <c r="AJ64" s="113"/>
      <c r="AK64" s="114"/>
      <c r="AL64" s="99"/>
      <c r="AM64" s="99"/>
      <c r="AN64" s="99"/>
      <c r="AO64" s="113"/>
      <c r="AP64" s="113"/>
      <c r="AQ64" s="114"/>
      <c r="AR64" s="99"/>
      <c r="AS64" s="99"/>
      <c r="AT64" s="99"/>
      <c r="AU64" s="113"/>
      <c r="AV64" s="113"/>
      <c r="AW64" s="114"/>
      <c r="AX64" s="101"/>
      <c r="AY64" s="116"/>
      <c r="AZ64" s="117"/>
      <c r="BA64" s="116"/>
      <c r="BB64" s="117"/>
      <c r="BC64" s="118"/>
    </row>
    <row r="65" spans="1:55">
      <c r="A65" s="122" t="s">
        <v>533</v>
      </c>
      <c r="B65" s="106">
        <v>80.327868852459019</v>
      </c>
      <c r="C65" s="107">
        <v>88.461538461538467</v>
      </c>
      <c r="D65" s="107"/>
      <c r="E65" s="92"/>
      <c r="F65" s="107"/>
      <c r="G65" s="108"/>
      <c r="H65" s="94"/>
      <c r="I65" s="107"/>
      <c r="J65" s="107"/>
      <c r="K65" s="92"/>
      <c r="L65" s="107"/>
      <c r="M65" s="108"/>
      <c r="N65" s="109">
        <v>80.327868852459019</v>
      </c>
      <c r="O65" s="107">
        <v>88.461538461538467</v>
      </c>
      <c r="P65" s="107"/>
      <c r="Q65" s="110"/>
      <c r="R65" s="107"/>
      <c r="S65" s="108"/>
      <c r="T65" s="109"/>
      <c r="U65" s="107"/>
      <c r="V65" s="107"/>
      <c r="W65" s="110"/>
      <c r="X65" s="110"/>
      <c r="Y65" s="111"/>
      <c r="Z65" s="112"/>
      <c r="AA65" s="98"/>
      <c r="AB65" s="99"/>
      <c r="AC65" s="113"/>
      <c r="AD65" s="113"/>
      <c r="AE65" s="114"/>
      <c r="AF65" s="112"/>
      <c r="AG65" s="115"/>
      <c r="AH65" s="99"/>
      <c r="AI65" s="113"/>
      <c r="AJ65" s="113"/>
      <c r="AK65" s="114"/>
      <c r="AL65" s="99"/>
      <c r="AM65" s="99"/>
      <c r="AN65" s="99"/>
      <c r="AO65" s="113"/>
      <c r="AP65" s="113"/>
      <c r="AQ65" s="114"/>
      <c r="AR65" s="99"/>
      <c r="AS65" s="99"/>
      <c r="AT65" s="99"/>
      <c r="AU65" s="113"/>
      <c r="AV65" s="113"/>
      <c r="AW65" s="114"/>
      <c r="AX65" s="101"/>
      <c r="AY65" s="116"/>
      <c r="AZ65" s="117"/>
      <c r="BA65" s="116"/>
      <c r="BB65" s="117"/>
      <c r="BC65" s="118"/>
    </row>
    <row r="66" spans="1:55">
      <c r="A66" s="122" t="s">
        <v>534</v>
      </c>
      <c r="B66" s="106">
        <v>80.341880341880341</v>
      </c>
      <c r="C66" s="107">
        <v>54.054054054054056</v>
      </c>
      <c r="D66" s="107"/>
      <c r="E66" s="92"/>
      <c r="F66" s="107"/>
      <c r="G66" s="108"/>
      <c r="H66" s="94"/>
      <c r="I66" s="107"/>
      <c r="J66" s="107"/>
      <c r="K66" s="92"/>
      <c r="L66" s="107"/>
      <c r="M66" s="108"/>
      <c r="N66" s="109">
        <v>80.341880341880341</v>
      </c>
      <c r="O66" s="107">
        <v>54.054054054054056</v>
      </c>
      <c r="P66" s="107"/>
      <c r="Q66" s="110"/>
      <c r="R66" s="107"/>
      <c r="S66" s="108"/>
      <c r="T66" s="109"/>
      <c r="U66" s="107"/>
      <c r="V66" s="107"/>
      <c r="W66" s="110"/>
      <c r="X66" s="110"/>
      <c r="Y66" s="111"/>
      <c r="Z66" s="112"/>
      <c r="AA66" s="98"/>
      <c r="AB66" s="99"/>
      <c r="AC66" s="113"/>
      <c r="AD66" s="113"/>
      <c r="AE66" s="114"/>
      <c r="AF66" s="112"/>
      <c r="AG66" s="115"/>
      <c r="AH66" s="99"/>
      <c r="AI66" s="113"/>
      <c r="AJ66" s="113"/>
      <c r="AK66" s="114"/>
      <c r="AL66" s="99"/>
      <c r="AM66" s="99"/>
      <c r="AN66" s="99"/>
      <c r="AO66" s="113"/>
      <c r="AP66" s="113"/>
      <c r="AQ66" s="114"/>
      <c r="AR66" s="99"/>
      <c r="AS66" s="99"/>
      <c r="AT66" s="99"/>
      <c r="AU66" s="113"/>
      <c r="AV66" s="113"/>
      <c r="AW66" s="114"/>
      <c r="AX66" s="101"/>
      <c r="AY66" s="116"/>
      <c r="AZ66" s="117"/>
      <c r="BA66" s="116"/>
      <c r="BB66" s="117"/>
      <c r="BC66" s="118"/>
    </row>
    <row r="67" spans="1:55">
      <c r="A67" s="122" t="s">
        <v>535</v>
      </c>
      <c r="B67" s="106">
        <v>79.914529914529908</v>
      </c>
      <c r="C67" s="107">
        <v>68.421052631578945</v>
      </c>
      <c r="D67" s="107">
        <v>82.051282051282044</v>
      </c>
      <c r="E67" s="92">
        <v>80.555555555555557</v>
      </c>
      <c r="F67" s="107"/>
      <c r="G67" s="108"/>
      <c r="H67" s="94">
        <v>79.914529914529908</v>
      </c>
      <c r="I67" s="107">
        <v>68.421052631578945</v>
      </c>
      <c r="J67" s="107">
        <v>82.051282051282044</v>
      </c>
      <c r="K67" s="92">
        <v>80.555555555555557</v>
      </c>
      <c r="L67" s="107"/>
      <c r="M67" s="108"/>
      <c r="N67" s="109"/>
      <c r="O67" s="107"/>
      <c r="P67" s="107"/>
      <c r="Q67" s="110"/>
      <c r="R67" s="107"/>
      <c r="S67" s="108"/>
      <c r="T67" s="109"/>
      <c r="U67" s="107"/>
      <c r="V67" s="107"/>
      <c r="W67" s="110"/>
      <c r="X67" s="110"/>
      <c r="Y67" s="111"/>
      <c r="Z67" s="112">
        <v>84.745762711864401</v>
      </c>
      <c r="AA67" s="98"/>
      <c r="AB67" s="99"/>
      <c r="AC67" s="113"/>
      <c r="AD67" s="113"/>
      <c r="AE67" s="114"/>
      <c r="AF67" s="112">
        <v>84.745762711864401</v>
      </c>
      <c r="AG67" s="115"/>
      <c r="AH67" s="99"/>
      <c r="AI67" s="113"/>
      <c r="AJ67" s="113"/>
      <c r="AK67" s="114"/>
      <c r="AL67" s="99"/>
      <c r="AM67" s="99"/>
      <c r="AN67" s="99"/>
      <c r="AO67" s="113"/>
      <c r="AP67" s="113"/>
      <c r="AQ67" s="114"/>
      <c r="AR67" s="99"/>
      <c r="AS67" s="99"/>
      <c r="AT67" s="99"/>
      <c r="AU67" s="113"/>
      <c r="AV67" s="113"/>
      <c r="AW67" s="114"/>
      <c r="AX67" s="101"/>
      <c r="AY67" s="116"/>
      <c r="AZ67" s="117"/>
      <c r="BA67" s="116"/>
      <c r="BB67" s="117"/>
      <c r="BC67" s="118"/>
    </row>
    <row r="68" spans="1:55">
      <c r="A68" s="122" t="s">
        <v>536</v>
      </c>
      <c r="B68" s="106">
        <v>79.166666666666671</v>
      </c>
      <c r="C68" s="107">
        <v>86.58536585365853</v>
      </c>
      <c r="D68" s="107">
        <v>75.641025641025635</v>
      </c>
      <c r="E68" s="92">
        <v>83.82352941176471</v>
      </c>
      <c r="F68" s="107"/>
      <c r="G68" s="108"/>
      <c r="H68" s="94">
        <v>79.166666666666671</v>
      </c>
      <c r="I68" s="107">
        <v>86.58536585365853</v>
      </c>
      <c r="J68" s="107">
        <v>75.641025641025635</v>
      </c>
      <c r="K68" s="92">
        <v>83.82352941176471</v>
      </c>
      <c r="L68" s="107"/>
      <c r="M68" s="108"/>
      <c r="N68" s="109"/>
      <c r="O68" s="107"/>
      <c r="P68" s="107"/>
      <c r="Q68" s="110"/>
      <c r="R68" s="107"/>
      <c r="S68" s="108"/>
      <c r="T68" s="109"/>
      <c r="U68" s="107"/>
      <c r="V68" s="107"/>
      <c r="W68" s="110"/>
      <c r="X68" s="110"/>
      <c r="Y68" s="111"/>
      <c r="Z68" s="112">
        <v>89.655172413793096</v>
      </c>
      <c r="AA68" s="98"/>
      <c r="AB68" s="99"/>
      <c r="AC68" s="113"/>
      <c r="AD68" s="113"/>
      <c r="AE68" s="114"/>
      <c r="AF68" s="112">
        <v>89.655172413793096</v>
      </c>
      <c r="AG68" s="115"/>
      <c r="AH68" s="99"/>
      <c r="AI68" s="113"/>
      <c r="AJ68" s="113"/>
      <c r="AK68" s="114"/>
      <c r="AL68" s="99"/>
      <c r="AM68" s="99"/>
      <c r="AN68" s="99"/>
      <c r="AO68" s="113"/>
      <c r="AP68" s="113"/>
      <c r="AQ68" s="114"/>
      <c r="AR68" s="99"/>
      <c r="AS68" s="99"/>
      <c r="AT68" s="99"/>
      <c r="AU68" s="113"/>
      <c r="AV68" s="113"/>
      <c r="AW68" s="114"/>
      <c r="AX68" s="101"/>
      <c r="AY68" s="116"/>
      <c r="AZ68" s="117"/>
      <c r="BA68" s="116"/>
      <c r="BB68" s="117"/>
      <c r="BC68" s="118"/>
    </row>
    <row r="69" spans="1:55">
      <c r="A69" s="122" t="s">
        <v>537</v>
      </c>
      <c r="B69" s="106">
        <v>79.09482758620689</v>
      </c>
      <c r="C69" s="107">
        <v>78.378378378378372</v>
      </c>
      <c r="D69" s="107">
        <v>89.743589743589737</v>
      </c>
      <c r="E69" s="92"/>
      <c r="F69" s="107"/>
      <c r="G69" s="108"/>
      <c r="H69" s="94">
        <v>79.09482758620689</v>
      </c>
      <c r="I69" s="107">
        <v>78.378378378378372</v>
      </c>
      <c r="J69" s="107">
        <v>89.743589743589737</v>
      </c>
      <c r="K69" s="92"/>
      <c r="L69" s="107"/>
      <c r="M69" s="108"/>
      <c r="N69" s="109"/>
      <c r="O69" s="107"/>
      <c r="P69" s="107"/>
      <c r="Q69" s="110"/>
      <c r="R69" s="107"/>
      <c r="S69" s="108"/>
      <c r="T69" s="109"/>
      <c r="U69" s="107"/>
      <c r="V69" s="107"/>
      <c r="W69" s="110"/>
      <c r="X69" s="110"/>
      <c r="Y69" s="111"/>
      <c r="Z69" s="112">
        <v>49.074074074074076</v>
      </c>
      <c r="AA69" s="98"/>
      <c r="AB69" s="99"/>
      <c r="AC69" s="113"/>
      <c r="AD69" s="113"/>
      <c r="AE69" s="114"/>
      <c r="AF69" s="112">
        <v>49.074074074074076</v>
      </c>
      <c r="AG69" s="115"/>
      <c r="AH69" s="99"/>
      <c r="AI69" s="113"/>
      <c r="AJ69" s="113"/>
      <c r="AK69" s="114"/>
      <c r="AL69" s="99"/>
      <c r="AM69" s="99"/>
      <c r="AN69" s="99"/>
      <c r="AO69" s="113"/>
      <c r="AP69" s="113"/>
      <c r="AQ69" s="114"/>
      <c r="AR69" s="99"/>
      <c r="AS69" s="99"/>
      <c r="AT69" s="99"/>
      <c r="AU69" s="113"/>
      <c r="AV69" s="113"/>
      <c r="AW69" s="114"/>
      <c r="AX69" s="101"/>
      <c r="AY69" s="116"/>
      <c r="AZ69" s="117"/>
      <c r="BA69" s="116"/>
      <c r="BB69" s="117"/>
      <c r="BC69" s="118"/>
    </row>
    <row r="70" spans="1:55">
      <c r="A70" s="122" t="s">
        <v>538</v>
      </c>
      <c r="B70" s="106">
        <v>78.75</v>
      </c>
      <c r="C70" s="107">
        <v>76.92307692307692</v>
      </c>
      <c r="D70" s="107"/>
      <c r="E70" s="92"/>
      <c r="F70" s="107"/>
      <c r="G70" s="108"/>
      <c r="H70" s="94"/>
      <c r="I70" s="107"/>
      <c r="J70" s="107"/>
      <c r="K70" s="92"/>
      <c r="L70" s="107"/>
      <c r="M70" s="108"/>
      <c r="N70" s="109"/>
      <c r="O70" s="107"/>
      <c r="P70" s="107"/>
      <c r="Q70" s="110"/>
      <c r="R70" s="107"/>
      <c r="S70" s="108"/>
      <c r="T70" s="109">
        <v>78.75</v>
      </c>
      <c r="U70" s="107">
        <v>76.92307692307692</v>
      </c>
      <c r="V70" s="107"/>
      <c r="W70" s="110"/>
      <c r="X70" s="110"/>
      <c r="Y70" s="111"/>
      <c r="Z70" s="112"/>
      <c r="AA70" s="98"/>
      <c r="AB70" s="99"/>
      <c r="AC70" s="113"/>
      <c r="AD70" s="113"/>
      <c r="AE70" s="114"/>
      <c r="AF70" s="112"/>
      <c r="AG70" s="115"/>
      <c r="AH70" s="99"/>
      <c r="AI70" s="113"/>
      <c r="AJ70" s="113"/>
      <c r="AK70" s="114"/>
      <c r="AL70" s="99"/>
      <c r="AM70" s="99"/>
      <c r="AN70" s="99"/>
      <c r="AO70" s="113"/>
      <c r="AP70" s="113"/>
      <c r="AQ70" s="114"/>
      <c r="AR70" s="99"/>
      <c r="AS70" s="99"/>
      <c r="AT70" s="99"/>
      <c r="AU70" s="113"/>
      <c r="AV70" s="113"/>
      <c r="AW70" s="114"/>
      <c r="AX70" s="101"/>
      <c r="AY70" s="116"/>
      <c r="AZ70" s="117"/>
      <c r="BA70" s="116"/>
      <c r="BB70" s="117"/>
      <c r="BC70" s="118"/>
    </row>
    <row r="71" spans="1:55">
      <c r="A71" s="122" t="s">
        <v>539</v>
      </c>
      <c r="B71" s="106">
        <v>78.571428571428569</v>
      </c>
      <c r="C71" s="107">
        <v>81.25</v>
      </c>
      <c r="D71" s="107"/>
      <c r="E71" s="92"/>
      <c r="F71" s="107"/>
      <c r="G71" s="108"/>
      <c r="H71" s="94"/>
      <c r="I71" s="107"/>
      <c r="J71" s="107"/>
      <c r="K71" s="92"/>
      <c r="L71" s="107"/>
      <c r="M71" s="108"/>
      <c r="N71" s="109">
        <v>78.571428571428569</v>
      </c>
      <c r="O71" s="107">
        <v>81.25</v>
      </c>
      <c r="P71" s="107"/>
      <c r="Q71" s="110"/>
      <c r="R71" s="107"/>
      <c r="S71" s="108"/>
      <c r="T71" s="109"/>
      <c r="U71" s="107"/>
      <c r="V71" s="107"/>
      <c r="W71" s="110"/>
      <c r="X71" s="110"/>
      <c r="Y71" s="111"/>
      <c r="Z71" s="112"/>
      <c r="AA71" s="98"/>
      <c r="AB71" s="99"/>
      <c r="AC71" s="113"/>
      <c r="AD71" s="113"/>
      <c r="AE71" s="114"/>
      <c r="AF71" s="112"/>
      <c r="AG71" s="115"/>
      <c r="AH71" s="99"/>
      <c r="AI71" s="113"/>
      <c r="AJ71" s="113"/>
      <c r="AK71" s="114"/>
      <c r="AL71" s="99"/>
      <c r="AM71" s="99"/>
      <c r="AN71" s="99"/>
      <c r="AO71" s="113"/>
      <c r="AP71" s="113"/>
      <c r="AQ71" s="114"/>
      <c r="AR71" s="99"/>
      <c r="AS71" s="99"/>
      <c r="AT71" s="99"/>
      <c r="AU71" s="113"/>
      <c r="AV71" s="113"/>
      <c r="AW71" s="114"/>
      <c r="AX71" s="101"/>
      <c r="AY71" s="116"/>
      <c r="AZ71" s="117"/>
      <c r="BA71" s="116"/>
      <c r="BB71" s="117"/>
      <c r="BC71" s="118"/>
    </row>
    <row r="72" spans="1:55">
      <c r="A72" s="122" t="s">
        <v>540</v>
      </c>
      <c r="B72" s="106">
        <v>78.305785123966942</v>
      </c>
      <c r="C72" s="107">
        <v>69.696969696969703</v>
      </c>
      <c r="D72" s="107"/>
      <c r="E72" s="92"/>
      <c r="F72" s="107"/>
      <c r="G72" s="108"/>
      <c r="H72" s="94"/>
      <c r="I72" s="107"/>
      <c r="J72" s="107"/>
      <c r="K72" s="92"/>
      <c r="L72" s="107"/>
      <c r="M72" s="108"/>
      <c r="N72" s="109">
        <v>78.305785123966942</v>
      </c>
      <c r="O72" s="107">
        <v>69.696969696969703</v>
      </c>
      <c r="P72" s="107"/>
      <c r="Q72" s="110"/>
      <c r="R72" s="107"/>
      <c r="S72" s="108"/>
      <c r="T72" s="109"/>
      <c r="U72" s="107"/>
      <c r="V72" s="107"/>
      <c r="W72" s="110"/>
      <c r="X72" s="110"/>
      <c r="Y72" s="111"/>
      <c r="Z72" s="112"/>
      <c r="AA72" s="98"/>
      <c r="AB72" s="99"/>
      <c r="AC72" s="113"/>
      <c r="AD72" s="113"/>
      <c r="AE72" s="114"/>
      <c r="AF72" s="112"/>
      <c r="AG72" s="115"/>
      <c r="AH72" s="99"/>
      <c r="AI72" s="113"/>
      <c r="AJ72" s="113"/>
      <c r="AK72" s="114"/>
      <c r="AL72" s="99"/>
      <c r="AM72" s="99"/>
      <c r="AN72" s="99"/>
      <c r="AO72" s="113"/>
      <c r="AP72" s="113"/>
      <c r="AQ72" s="114"/>
      <c r="AR72" s="99"/>
      <c r="AS72" s="99"/>
      <c r="AT72" s="99"/>
      <c r="AU72" s="113"/>
      <c r="AV72" s="113"/>
      <c r="AW72" s="114"/>
      <c r="AX72" s="101"/>
      <c r="AY72" s="116"/>
      <c r="AZ72" s="117"/>
      <c r="BA72" s="116"/>
      <c r="BB72" s="117"/>
      <c r="BC72" s="118"/>
    </row>
    <row r="73" spans="1:55">
      <c r="A73" s="122" t="s">
        <v>541</v>
      </c>
      <c r="B73" s="106">
        <v>78.125</v>
      </c>
      <c r="C73" s="107">
        <v>100</v>
      </c>
      <c r="D73" s="107">
        <v>66.666666666666671</v>
      </c>
      <c r="E73" s="92"/>
      <c r="F73" s="107"/>
      <c r="G73" s="108"/>
      <c r="H73" s="94">
        <v>78.125</v>
      </c>
      <c r="I73" s="107">
        <v>100</v>
      </c>
      <c r="J73" s="107">
        <v>66.666666666666671</v>
      </c>
      <c r="K73" s="92"/>
      <c r="L73" s="107"/>
      <c r="M73" s="108"/>
      <c r="N73" s="109"/>
      <c r="O73" s="107"/>
      <c r="P73" s="107"/>
      <c r="Q73" s="110"/>
      <c r="R73" s="107"/>
      <c r="S73" s="108"/>
      <c r="T73" s="109"/>
      <c r="U73" s="107"/>
      <c r="V73" s="107"/>
      <c r="W73" s="110"/>
      <c r="X73" s="110"/>
      <c r="Y73" s="111"/>
      <c r="Z73" s="112">
        <v>91.228070175438603</v>
      </c>
      <c r="AA73" s="98"/>
      <c r="AB73" s="99"/>
      <c r="AC73" s="113"/>
      <c r="AD73" s="113"/>
      <c r="AE73" s="114"/>
      <c r="AF73" s="112">
        <v>91.228070175438603</v>
      </c>
      <c r="AG73" s="115"/>
      <c r="AH73" s="99"/>
      <c r="AI73" s="113"/>
      <c r="AJ73" s="113"/>
      <c r="AK73" s="114"/>
      <c r="AL73" s="99"/>
      <c r="AM73" s="99"/>
      <c r="AN73" s="99"/>
      <c r="AO73" s="113"/>
      <c r="AP73" s="113"/>
      <c r="AQ73" s="114"/>
      <c r="AR73" s="99"/>
      <c r="AS73" s="99"/>
      <c r="AT73" s="99"/>
      <c r="AU73" s="113"/>
      <c r="AV73" s="113"/>
      <c r="AW73" s="114"/>
      <c r="AX73" s="101"/>
      <c r="AY73" s="116"/>
      <c r="AZ73" s="117"/>
      <c r="BA73" s="116"/>
      <c r="BB73" s="117"/>
      <c r="BC73" s="118"/>
    </row>
    <row r="74" spans="1:55">
      <c r="A74" s="122" t="s">
        <v>542</v>
      </c>
      <c r="B74" s="106">
        <v>78.048780487804876</v>
      </c>
      <c r="C74" s="107">
        <v>60</v>
      </c>
      <c r="D74" s="107"/>
      <c r="E74" s="92"/>
      <c r="F74" s="107"/>
      <c r="G74" s="108"/>
      <c r="H74" s="94"/>
      <c r="I74" s="107"/>
      <c r="J74" s="107"/>
      <c r="K74" s="92"/>
      <c r="L74" s="107"/>
      <c r="M74" s="108"/>
      <c r="N74" s="109"/>
      <c r="O74" s="107"/>
      <c r="P74" s="107"/>
      <c r="Q74" s="110"/>
      <c r="R74" s="107"/>
      <c r="S74" s="108"/>
      <c r="T74" s="109">
        <v>78.048780487804876</v>
      </c>
      <c r="U74" s="107">
        <v>60</v>
      </c>
      <c r="V74" s="107"/>
      <c r="W74" s="110"/>
      <c r="X74" s="110"/>
      <c r="Y74" s="111"/>
      <c r="Z74" s="112"/>
      <c r="AA74" s="98"/>
      <c r="AB74" s="99"/>
      <c r="AC74" s="113"/>
      <c r="AD74" s="113"/>
      <c r="AE74" s="114"/>
      <c r="AF74" s="112"/>
      <c r="AG74" s="115"/>
      <c r="AH74" s="99"/>
      <c r="AI74" s="113"/>
      <c r="AJ74" s="113"/>
      <c r="AK74" s="114"/>
      <c r="AL74" s="99"/>
      <c r="AM74" s="99"/>
      <c r="AN74" s="99"/>
      <c r="AO74" s="113"/>
      <c r="AP74" s="113"/>
      <c r="AQ74" s="114"/>
      <c r="AR74" s="99"/>
      <c r="AS74" s="99"/>
      <c r="AT74" s="99"/>
      <c r="AU74" s="113"/>
      <c r="AV74" s="113"/>
      <c r="AW74" s="114"/>
      <c r="AX74" s="101"/>
      <c r="AY74" s="116"/>
      <c r="AZ74" s="117"/>
      <c r="BA74" s="116"/>
      <c r="BB74" s="117"/>
      <c r="BC74" s="118"/>
    </row>
    <row r="75" spans="1:55">
      <c r="A75" s="122" t="s">
        <v>543</v>
      </c>
      <c r="B75" s="106">
        <v>77.941176470588232</v>
      </c>
      <c r="C75" s="107">
        <v>7.8125</v>
      </c>
      <c r="D75" s="107"/>
      <c r="E75" s="92"/>
      <c r="F75" s="107"/>
      <c r="G75" s="108"/>
      <c r="H75" s="94"/>
      <c r="I75" s="107"/>
      <c r="J75" s="107"/>
      <c r="K75" s="92"/>
      <c r="L75" s="107"/>
      <c r="M75" s="108"/>
      <c r="N75" s="109"/>
      <c r="O75" s="107"/>
      <c r="P75" s="107"/>
      <c r="Q75" s="110"/>
      <c r="R75" s="107"/>
      <c r="S75" s="108"/>
      <c r="T75" s="109">
        <v>77.941176470588232</v>
      </c>
      <c r="U75" s="107">
        <v>7.8125</v>
      </c>
      <c r="V75" s="107"/>
      <c r="W75" s="110"/>
      <c r="X75" s="110"/>
      <c r="Y75" s="111"/>
      <c r="Z75" s="112"/>
      <c r="AA75" s="98"/>
      <c r="AB75" s="99"/>
      <c r="AC75" s="113"/>
      <c r="AD75" s="113"/>
      <c r="AE75" s="114"/>
      <c r="AF75" s="112"/>
      <c r="AG75" s="115"/>
      <c r="AH75" s="99"/>
      <c r="AI75" s="113"/>
      <c r="AJ75" s="113"/>
      <c r="AK75" s="114"/>
      <c r="AL75" s="99"/>
      <c r="AM75" s="99"/>
      <c r="AN75" s="99"/>
      <c r="AO75" s="113"/>
      <c r="AP75" s="113"/>
      <c r="AQ75" s="114"/>
      <c r="AR75" s="99"/>
      <c r="AS75" s="99"/>
      <c r="AT75" s="99"/>
      <c r="AU75" s="113"/>
      <c r="AV75" s="113"/>
      <c r="AW75" s="114"/>
      <c r="AX75" s="101"/>
      <c r="AY75" s="116"/>
      <c r="AZ75" s="117"/>
      <c r="BA75" s="116"/>
      <c r="BB75" s="117"/>
      <c r="BC75" s="118"/>
    </row>
    <row r="76" spans="1:55">
      <c r="A76" s="122" t="s">
        <v>544</v>
      </c>
      <c r="B76" s="106">
        <v>77.685950413223139</v>
      </c>
      <c r="C76" s="107">
        <v>92.5</v>
      </c>
      <c r="D76" s="107">
        <v>84.523809523809518</v>
      </c>
      <c r="E76" s="92">
        <v>93.918918918918919</v>
      </c>
      <c r="F76" s="107"/>
      <c r="G76" s="108"/>
      <c r="H76" s="94">
        <v>77.685950413223139</v>
      </c>
      <c r="I76" s="107">
        <v>92.5</v>
      </c>
      <c r="J76" s="107">
        <v>84.523809523809518</v>
      </c>
      <c r="K76" s="92">
        <v>93.918918918918919</v>
      </c>
      <c r="L76" s="107"/>
      <c r="M76" s="108"/>
      <c r="N76" s="109"/>
      <c r="O76" s="107"/>
      <c r="P76" s="107"/>
      <c r="Q76" s="110"/>
      <c r="R76" s="107"/>
      <c r="S76" s="108"/>
      <c r="T76" s="109"/>
      <c r="U76" s="107"/>
      <c r="V76" s="107"/>
      <c r="W76" s="110"/>
      <c r="X76" s="110"/>
      <c r="Y76" s="111"/>
      <c r="Z76" s="112">
        <v>77.5</v>
      </c>
      <c r="AA76" s="98">
        <v>80.357142857142861</v>
      </c>
      <c r="AB76" s="99"/>
      <c r="AC76" s="113"/>
      <c r="AD76" s="113"/>
      <c r="AE76" s="114"/>
      <c r="AF76" s="112">
        <v>77.5</v>
      </c>
      <c r="AG76" s="115">
        <v>80.357142857142861</v>
      </c>
      <c r="AH76" s="99"/>
      <c r="AI76" s="113"/>
      <c r="AJ76" s="113"/>
      <c r="AK76" s="114"/>
      <c r="AL76" s="99"/>
      <c r="AM76" s="99"/>
      <c r="AN76" s="99"/>
      <c r="AO76" s="113"/>
      <c r="AP76" s="113"/>
      <c r="AQ76" s="114"/>
      <c r="AR76" s="99"/>
      <c r="AS76" s="99"/>
      <c r="AT76" s="99"/>
      <c r="AU76" s="113"/>
      <c r="AV76" s="113"/>
      <c r="AW76" s="114"/>
      <c r="AX76" s="101"/>
      <c r="AY76" s="116"/>
      <c r="AZ76" s="117"/>
      <c r="BA76" s="116"/>
      <c r="BB76" s="117"/>
      <c r="BC76" s="118"/>
    </row>
    <row r="77" spans="1:55">
      <c r="A77" s="122" t="s">
        <v>545</v>
      </c>
      <c r="B77" s="106">
        <v>77.678571428571431</v>
      </c>
      <c r="C77" s="107">
        <v>81.944444444444443</v>
      </c>
      <c r="D77" s="107"/>
      <c r="E77" s="92"/>
      <c r="F77" s="107"/>
      <c r="G77" s="108"/>
      <c r="H77" s="94">
        <v>77.678571428571431</v>
      </c>
      <c r="I77" s="107">
        <v>81.944444444444443</v>
      </c>
      <c r="J77" s="107"/>
      <c r="K77" s="92"/>
      <c r="L77" s="107"/>
      <c r="M77" s="108"/>
      <c r="N77" s="109"/>
      <c r="O77" s="107"/>
      <c r="P77" s="107"/>
      <c r="Q77" s="110"/>
      <c r="R77" s="107"/>
      <c r="S77" s="108"/>
      <c r="T77" s="109"/>
      <c r="U77" s="107"/>
      <c r="V77" s="107"/>
      <c r="W77" s="110"/>
      <c r="X77" s="110"/>
      <c r="Y77" s="111"/>
      <c r="Z77" s="112">
        <v>89.830508474576277</v>
      </c>
      <c r="AA77" s="98"/>
      <c r="AB77" s="99"/>
      <c r="AC77" s="113"/>
      <c r="AD77" s="113"/>
      <c r="AE77" s="114"/>
      <c r="AF77" s="112">
        <v>89.830508474576277</v>
      </c>
      <c r="AG77" s="115"/>
      <c r="AH77" s="99"/>
      <c r="AI77" s="113"/>
      <c r="AJ77" s="113"/>
      <c r="AK77" s="114"/>
      <c r="AL77" s="99"/>
      <c r="AM77" s="99"/>
      <c r="AN77" s="99"/>
      <c r="AO77" s="113"/>
      <c r="AP77" s="113"/>
      <c r="AQ77" s="114"/>
      <c r="AR77" s="99"/>
      <c r="AS77" s="99"/>
      <c r="AT77" s="99"/>
      <c r="AU77" s="113"/>
      <c r="AV77" s="113"/>
      <c r="AW77" s="114"/>
      <c r="AX77" s="101"/>
      <c r="AY77" s="116"/>
      <c r="AZ77" s="117"/>
      <c r="BA77" s="116"/>
      <c r="BB77" s="117"/>
      <c r="BC77" s="118"/>
    </row>
    <row r="78" spans="1:55">
      <c r="A78" s="122" t="s">
        <v>546</v>
      </c>
      <c r="B78" s="106">
        <v>77.542372881355931</v>
      </c>
      <c r="C78" s="107">
        <v>76.282051282051285</v>
      </c>
      <c r="D78" s="107">
        <v>74.358974358974365</v>
      </c>
      <c r="E78" s="92"/>
      <c r="F78" s="107"/>
      <c r="G78" s="108"/>
      <c r="H78" s="94">
        <v>77.542372881355931</v>
      </c>
      <c r="I78" s="107">
        <v>76.282051282051285</v>
      </c>
      <c r="J78" s="107">
        <v>74.358974358974365</v>
      </c>
      <c r="K78" s="92"/>
      <c r="L78" s="107"/>
      <c r="M78" s="108"/>
      <c r="N78" s="109"/>
      <c r="O78" s="107"/>
      <c r="P78" s="107"/>
      <c r="Q78" s="110"/>
      <c r="R78" s="107"/>
      <c r="S78" s="108"/>
      <c r="T78" s="109"/>
      <c r="U78" s="107"/>
      <c r="V78" s="107"/>
      <c r="W78" s="110"/>
      <c r="X78" s="110"/>
      <c r="Y78" s="111"/>
      <c r="Z78" s="112">
        <v>89.830508474576277</v>
      </c>
      <c r="AA78" s="98"/>
      <c r="AB78" s="99"/>
      <c r="AC78" s="113"/>
      <c r="AD78" s="113"/>
      <c r="AE78" s="114"/>
      <c r="AF78" s="112">
        <v>89.830508474576277</v>
      </c>
      <c r="AG78" s="115"/>
      <c r="AH78" s="99"/>
      <c r="AI78" s="113"/>
      <c r="AJ78" s="113"/>
      <c r="AK78" s="114"/>
      <c r="AL78" s="99"/>
      <c r="AM78" s="99"/>
      <c r="AN78" s="99"/>
      <c r="AO78" s="113"/>
      <c r="AP78" s="113"/>
      <c r="AQ78" s="114"/>
      <c r="AR78" s="99"/>
      <c r="AS78" s="99"/>
      <c r="AT78" s="99"/>
      <c r="AU78" s="113"/>
      <c r="AV78" s="113"/>
      <c r="AW78" s="114"/>
      <c r="AX78" s="101"/>
      <c r="AY78" s="116"/>
      <c r="AZ78" s="117"/>
      <c r="BA78" s="116"/>
      <c r="BB78" s="117"/>
      <c r="BC78" s="118"/>
    </row>
    <row r="79" spans="1:55">
      <c r="A79" s="122" t="s">
        <v>547</v>
      </c>
      <c r="B79" s="106">
        <v>77.38095238095238</v>
      </c>
      <c r="C79" s="107">
        <v>41.44736842105263</v>
      </c>
      <c r="D79" s="107"/>
      <c r="E79" s="92"/>
      <c r="F79" s="107"/>
      <c r="G79" s="108"/>
      <c r="H79" s="94"/>
      <c r="I79" s="107"/>
      <c r="J79" s="107"/>
      <c r="K79" s="92"/>
      <c r="L79" s="107"/>
      <c r="M79" s="108"/>
      <c r="N79" s="109"/>
      <c r="O79" s="107"/>
      <c r="P79" s="107"/>
      <c r="Q79" s="110"/>
      <c r="R79" s="107"/>
      <c r="S79" s="108"/>
      <c r="T79" s="109">
        <v>77.38095238095238</v>
      </c>
      <c r="U79" s="107">
        <v>41.44736842105263</v>
      </c>
      <c r="V79" s="107"/>
      <c r="W79" s="110"/>
      <c r="X79" s="110"/>
      <c r="Y79" s="111"/>
      <c r="Z79" s="112"/>
      <c r="AA79" s="98"/>
      <c r="AB79" s="99"/>
      <c r="AC79" s="113"/>
      <c r="AD79" s="113"/>
      <c r="AE79" s="114"/>
      <c r="AF79" s="112"/>
      <c r="AG79" s="115"/>
      <c r="AH79" s="99"/>
      <c r="AI79" s="113"/>
      <c r="AJ79" s="113"/>
      <c r="AK79" s="114"/>
      <c r="AL79" s="99"/>
      <c r="AM79" s="99"/>
      <c r="AN79" s="99"/>
      <c r="AO79" s="113"/>
      <c r="AP79" s="113"/>
      <c r="AQ79" s="114"/>
      <c r="AR79" s="99"/>
      <c r="AS79" s="99"/>
      <c r="AT79" s="99"/>
      <c r="AU79" s="113"/>
      <c r="AV79" s="113"/>
      <c r="AW79" s="114"/>
      <c r="AX79" s="101"/>
      <c r="AY79" s="116"/>
      <c r="AZ79" s="117"/>
      <c r="BA79" s="116"/>
      <c r="BB79" s="117"/>
      <c r="BC79" s="118"/>
    </row>
    <row r="80" spans="1:55">
      <c r="A80" s="122" t="s">
        <v>548</v>
      </c>
      <c r="B80" s="106">
        <v>77.41935483870968</v>
      </c>
      <c r="C80" s="107">
        <v>52.941176470588232</v>
      </c>
      <c r="D80" s="107">
        <v>68.75</v>
      </c>
      <c r="E80" s="92">
        <v>62.857142857142854</v>
      </c>
      <c r="F80" s="107"/>
      <c r="G80" s="108"/>
      <c r="H80" s="94">
        <v>77.41935483870968</v>
      </c>
      <c r="I80" s="107">
        <v>52.941176470588232</v>
      </c>
      <c r="J80" s="107">
        <v>68.75</v>
      </c>
      <c r="K80" s="92">
        <v>62.857142857142854</v>
      </c>
      <c r="L80" s="107"/>
      <c r="M80" s="108"/>
      <c r="N80" s="109"/>
      <c r="O80" s="107"/>
      <c r="P80" s="107"/>
      <c r="Q80" s="110"/>
      <c r="R80" s="107"/>
      <c r="S80" s="108"/>
      <c r="T80" s="109"/>
      <c r="U80" s="107"/>
      <c r="V80" s="107"/>
      <c r="W80" s="110"/>
      <c r="X80" s="110"/>
      <c r="Y80" s="111"/>
      <c r="Z80" s="112">
        <v>80.172413793103445</v>
      </c>
      <c r="AA80" s="98"/>
      <c r="AB80" s="99"/>
      <c r="AC80" s="113"/>
      <c r="AD80" s="113"/>
      <c r="AE80" s="114"/>
      <c r="AF80" s="112">
        <v>80.172413793103445</v>
      </c>
      <c r="AG80" s="115"/>
      <c r="AH80" s="99"/>
      <c r="AI80" s="113"/>
      <c r="AJ80" s="113"/>
      <c r="AK80" s="114"/>
      <c r="AL80" s="99"/>
      <c r="AM80" s="99"/>
      <c r="AN80" s="99"/>
      <c r="AO80" s="113"/>
      <c r="AP80" s="113"/>
      <c r="AQ80" s="114"/>
      <c r="AR80" s="99"/>
      <c r="AS80" s="99"/>
      <c r="AT80" s="99"/>
      <c r="AU80" s="113"/>
      <c r="AV80" s="113"/>
      <c r="AW80" s="114"/>
      <c r="AX80" s="101"/>
      <c r="AY80" s="116"/>
      <c r="AZ80" s="117"/>
      <c r="BA80" s="116"/>
      <c r="BB80" s="117"/>
      <c r="BC80" s="118"/>
    </row>
    <row r="81" spans="1:55">
      <c r="A81" s="122" t="s">
        <v>549</v>
      </c>
      <c r="B81" s="106">
        <v>77.439024390243901</v>
      </c>
      <c r="C81" s="107">
        <v>91.25</v>
      </c>
      <c r="D81" s="107"/>
      <c r="E81" s="92"/>
      <c r="F81" s="107"/>
      <c r="G81" s="108"/>
      <c r="H81" s="94"/>
      <c r="I81" s="107"/>
      <c r="J81" s="107"/>
      <c r="K81" s="92"/>
      <c r="L81" s="107"/>
      <c r="M81" s="108"/>
      <c r="N81" s="109">
        <v>77.439024390243901</v>
      </c>
      <c r="O81" s="107">
        <v>91.25</v>
      </c>
      <c r="P81" s="107"/>
      <c r="Q81" s="110"/>
      <c r="R81" s="107"/>
      <c r="S81" s="108"/>
      <c r="T81" s="109"/>
      <c r="U81" s="107"/>
      <c r="V81" s="107"/>
      <c r="W81" s="110"/>
      <c r="X81" s="110"/>
      <c r="Y81" s="111"/>
      <c r="Z81" s="112"/>
      <c r="AA81" s="98"/>
      <c r="AB81" s="99"/>
      <c r="AC81" s="113"/>
      <c r="AD81" s="113"/>
      <c r="AE81" s="114"/>
      <c r="AF81" s="112"/>
      <c r="AG81" s="115"/>
      <c r="AH81" s="99"/>
      <c r="AI81" s="113"/>
      <c r="AJ81" s="113"/>
      <c r="AK81" s="114"/>
      <c r="AL81" s="99"/>
      <c r="AM81" s="99"/>
      <c r="AN81" s="99"/>
      <c r="AO81" s="113"/>
      <c r="AP81" s="113"/>
      <c r="AQ81" s="114"/>
      <c r="AR81" s="99"/>
      <c r="AS81" s="99"/>
      <c r="AT81" s="99"/>
      <c r="AU81" s="113"/>
      <c r="AV81" s="113"/>
      <c r="AW81" s="114"/>
      <c r="AX81" s="101"/>
      <c r="AY81" s="116"/>
      <c r="AZ81" s="117"/>
      <c r="BA81" s="116"/>
      <c r="BB81" s="117"/>
      <c r="BC81" s="118"/>
    </row>
    <row r="82" spans="1:55">
      <c r="A82" s="122" t="s">
        <v>550</v>
      </c>
      <c r="B82" s="106">
        <v>77.118644067796609</v>
      </c>
      <c r="C82" s="107">
        <v>53.571428571428569</v>
      </c>
      <c r="D82" s="107"/>
      <c r="E82" s="92"/>
      <c r="F82" s="107"/>
      <c r="G82" s="108"/>
      <c r="H82" s="94"/>
      <c r="I82" s="107"/>
      <c r="J82" s="107"/>
      <c r="K82" s="92"/>
      <c r="L82" s="107"/>
      <c r="M82" s="108"/>
      <c r="N82" s="109">
        <v>77.118644067796609</v>
      </c>
      <c r="O82" s="107">
        <v>53.571428571428569</v>
      </c>
      <c r="P82" s="107"/>
      <c r="Q82" s="110"/>
      <c r="R82" s="107"/>
      <c r="S82" s="108"/>
      <c r="T82" s="109"/>
      <c r="U82" s="107"/>
      <c r="V82" s="107"/>
      <c r="W82" s="110"/>
      <c r="X82" s="110"/>
      <c r="Y82" s="111"/>
      <c r="Z82" s="112"/>
      <c r="AA82" s="98"/>
      <c r="AB82" s="99"/>
      <c r="AC82" s="113"/>
      <c r="AD82" s="113"/>
      <c r="AE82" s="114"/>
      <c r="AF82" s="112"/>
      <c r="AG82" s="115"/>
      <c r="AH82" s="99"/>
      <c r="AI82" s="113"/>
      <c r="AJ82" s="113"/>
      <c r="AK82" s="114"/>
      <c r="AL82" s="99"/>
      <c r="AM82" s="99"/>
      <c r="AN82" s="99"/>
      <c r="AO82" s="113"/>
      <c r="AP82" s="113"/>
      <c r="AQ82" s="114"/>
      <c r="AR82" s="99"/>
      <c r="AS82" s="99"/>
      <c r="AT82" s="99"/>
      <c r="AU82" s="113"/>
      <c r="AV82" s="113"/>
      <c r="AW82" s="114"/>
      <c r="AX82" s="101"/>
      <c r="AY82" s="116"/>
      <c r="AZ82" s="117"/>
      <c r="BA82" s="116"/>
      <c r="BB82" s="117"/>
      <c r="BC82" s="118"/>
    </row>
    <row r="83" spans="1:55">
      <c r="A83" s="122" t="s">
        <v>551</v>
      </c>
      <c r="B83" s="106">
        <v>77.049180327868854</v>
      </c>
      <c r="C83" s="107">
        <v>89.285714285714292</v>
      </c>
      <c r="D83" s="107">
        <v>84.146341463414629</v>
      </c>
      <c r="E83" s="92">
        <v>82.638888888888886</v>
      </c>
      <c r="F83" s="107"/>
      <c r="G83" s="108"/>
      <c r="H83" s="94">
        <v>77.049180327868854</v>
      </c>
      <c r="I83" s="107">
        <v>89.285714285714292</v>
      </c>
      <c r="J83" s="107">
        <v>84.146341463414629</v>
      </c>
      <c r="K83" s="92">
        <v>82.638888888888886</v>
      </c>
      <c r="L83" s="107"/>
      <c r="M83" s="108"/>
      <c r="N83" s="109"/>
      <c r="O83" s="107"/>
      <c r="P83" s="107"/>
      <c r="Q83" s="110"/>
      <c r="R83" s="107"/>
      <c r="S83" s="108"/>
      <c r="T83" s="109"/>
      <c r="U83" s="107"/>
      <c r="V83" s="107"/>
      <c r="W83" s="110"/>
      <c r="X83" s="110"/>
      <c r="Y83" s="111"/>
      <c r="Z83" s="112">
        <v>42.454545454545453</v>
      </c>
      <c r="AA83" s="98">
        <v>75.370370370370367</v>
      </c>
      <c r="AB83" s="99"/>
      <c r="AC83" s="113"/>
      <c r="AD83" s="113"/>
      <c r="AE83" s="114"/>
      <c r="AF83" s="112">
        <v>42.454545454545453</v>
      </c>
      <c r="AG83" s="115">
        <v>75.370370370370367</v>
      </c>
      <c r="AH83" s="99"/>
      <c r="AI83" s="113"/>
      <c r="AJ83" s="113"/>
      <c r="AK83" s="114"/>
      <c r="AL83" s="99"/>
      <c r="AM83" s="99"/>
      <c r="AN83" s="99"/>
      <c r="AO83" s="113"/>
      <c r="AP83" s="113"/>
      <c r="AQ83" s="114"/>
      <c r="AR83" s="99"/>
      <c r="AS83" s="99"/>
      <c r="AT83" s="99"/>
      <c r="AU83" s="113"/>
      <c r="AV83" s="113"/>
      <c r="AW83" s="114"/>
      <c r="AX83" s="101"/>
      <c r="AY83" s="116"/>
      <c r="AZ83" s="117"/>
      <c r="BA83" s="116"/>
      <c r="BB83" s="117"/>
      <c r="BC83" s="118"/>
    </row>
    <row r="84" spans="1:55">
      <c r="A84" s="122" t="s">
        <v>552</v>
      </c>
      <c r="B84" s="106">
        <v>76.92307692307692</v>
      </c>
      <c r="C84" s="107">
        <v>76.315789473684205</v>
      </c>
      <c r="D84" s="107"/>
      <c r="E84" s="92"/>
      <c r="F84" s="107"/>
      <c r="G84" s="108"/>
      <c r="H84" s="94"/>
      <c r="I84" s="107"/>
      <c r="J84" s="107"/>
      <c r="K84" s="92"/>
      <c r="L84" s="107"/>
      <c r="M84" s="108"/>
      <c r="N84" s="109"/>
      <c r="O84" s="107"/>
      <c r="P84" s="107"/>
      <c r="Q84" s="110"/>
      <c r="R84" s="107"/>
      <c r="S84" s="108"/>
      <c r="T84" s="109">
        <v>76.92307692307692</v>
      </c>
      <c r="U84" s="107">
        <v>76.315789473684205</v>
      </c>
      <c r="V84" s="107"/>
      <c r="W84" s="110"/>
      <c r="X84" s="110"/>
      <c r="Y84" s="111"/>
      <c r="Z84" s="112"/>
      <c r="AA84" s="98"/>
      <c r="AB84" s="99"/>
      <c r="AC84" s="113"/>
      <c r="AD84" s="113"/>
      <c r="AE84" s="114"/>
      <c r="AF84" s="112"/>
      <c r="AG84" s="115"/>
      <c r="AH84" s="99"/>
      <c r="AI84" s="113"/>
      <c r="AJ84" s="113"/>
      <c r="AK84" s="114"/>
      <c r="AL84" s="99"/>
      <c r="AM84" s="99"/>
      <c r="AN84" s="99"/>
      <c r="AO84" s="113"/>
      <c r="AP84" s="113"/>
      <c r="AQ84" s="114"/>
      <c r="AR84" s="99"/>
      <c r="AS84" s="99"/>
      <c r="AT84" s="99"/>
      <c r="AU84" s="113"/>
      <c r="AV84" s="113"/>
      <c r="AW84" s="114"/>
      <c r="AX84" s="101"/>
      <c r="AY84" s="116"/>
      <c r="AZ84" s="117"/>
      <c r="BA84" s="116"/>
      <c r="BB84" s="117"/>
      <c r="BC84" s="118"/>
    </row>
    <row r="85" spans="1:55">
      <c r="A85" s="122" t="s">
        <v>553</v>
      </c>
      <c r="B85" s="106">
        <v>76.875</v>
      </c>
      <c r="C85" s="107">
        <v>67.142857142857139</v>
      </c>
      <c r="D85" s="107"/>
      <c r="E85" s="92"/>
      <c r="F85" s="107"/>
      <c r="G85" s="108"/>
      <c r="H85" s="94">
        <v>76.875</v>
      </c>
      <c r="I85" s="107">
        <v>67.142857142857139</v>
      </c>
      <c r="J85" s="107"/>
      <c r="K85" s="92"/>
      <c r="L85" s="107"/>
      <c r="M85" s="108"/>
      <c r="N85" s="109"/>
      <c r="O85" s="107"/>
      <c r="P85" s="107"/>
      <c r="Q85" s="110"/>
      <c r="R85" s="107"/>
      <c r="S85" s="108"/>
      <c r="T85" s="109"/>
      <c r="U85" s="107"/>
      <c r="V85" s="107"/>
      <c r="W85" s="110"/>
      <c r="X85" s="110"/>
      <c r="Y85" s="111"/>
      <c r="Z85" s="112"/>
      <c r="AA85" s="98"/>
      <c r="AB85" s="99"/>
      <c r="AC85" s="113"/>
      <c r="AD85" s="113"/>
      <c r="AE85" s="114"/>
      <c r="AF85" s="112"/>
      <c r="AG85" s="115"/>
      <c r="AH85" s="99"/>
      <c r="AI85" s="113"/>
      <c r="AJ85" s="113"/>
      <c r="AK85" s="114"/>
      <c r="AL85" s="99"/>
      <c r="AM85" s="99"/>
      <c r="AN85" s="99"/>
      <c r="AO85" s="113"/>
      <c r="AP85" s="113"/>
      <c r="AQ85" s="114"/>
      <c r="AR85" s="99"/>
      <c r="AS85" s="99"/>
      <c r="AT85" s="99"/>
      <c r="AU85" s="113"/>
      <c r="AV85" s="113"/>
      <c r="AW85" s="114"/>
      <c r="AX85" s="101"/>
      <c r="AY85" s="116"/>
      <c r="AZ85" s="117"/>
      <c r="BA85" s="116"/>
      <c r="BB85" s="117"/>
      <c r="BC85" s="118"/>
    </row>
    <row r="86" spans="1:55">
      <c r="A86" s="122" t="s">
        <v>554</v>
      </c>
      <c r="B86" s="106">
        <v>76.875</v>
      </c>
      <c r="C86" s="107">
        <v>37.179487179487182</v>
      </c>
      <c r="D86" s="107"/>
      <c r="E86" s="92"/>
      <c r="F86" s="107"/>
      <c r="G86" s="108"/>
      <c r="H86" s="94"/>
      <c r="I86" s="107"/>
      <c r="J86" s="107"/>
      <c r="K86" s="92"/>
      <c r="L86" s="107"/>
      <c r="M86" s="108"/>
      <c r="N86" s="109"/>
      <c r="O86" s="107"/>
      <c r="P86" s="107"/>
      <c r="Q86" s="110"/>
      <c r="R86" s="107"/>
      <c r="S86" s="108"/>
      <c r="T86" s="109">
        <v>76.875</v>
      </c>
      <c r="U86" s="107">
        <v>37.179487179487182</v>
      </c>
      <c r="V86" s="107"/>
      <c r="W86" s="110"/>
      <c r="X86" s="110"/>
      <c r="Y86" s="111"/>
      <c r="Z86" s="112"/>
      <c r="AA86" s="98"/>
      <c r="AB86" s="99"/>
      <c r="AC86" s="113"/>
      <c r="AD86" s="113"/>
      <c r="AE86" s="114"/>
      <c r="AF86" s="112"/>
      <c r="AG86" s="115"/>
      <c r="AH86" s="99"/>
      <c r="AI86" s="113"/>
      <c r="AJ86" s="113"/>
      <c r="AK86" s="114"/>
      <c r="AL86" s="99"/>
      <c r="AM86" s="99"/>
      <c r="AN86" s="99"/>
      <c r="AO86" s="113"/>
      <c r="AP86" s="113"/>
      <c r="AQ86" s="114"/>
      <c r="AR86" s="99"/>
      <c r="AS86" s="99"/>
      <c r="AT86" s="99"/>
      <c r="AU86" s="113"/>
      <c r="AV86" s="113"/>
      <c r="AW86" s="114"/>
      <c r="AX86" s="101"/>
      <c r="AY86" s="116"/>
      <c r="AZ86" s="117"/>
      <c r="BA86" s="116"/>
      <c r="BB86" s="117"/>
      <c r="BC86" s="118"/>
    </row>
    <row r="87" spans="1:55">
      <c r="A87" s="122" t="s">
        <v>555</v>
      </c>
      <c r="B87" s="106">
        <v>76.508620689655174</v>
      </c>
      <c r="C87" s="107">
        <v>58.55263157894737</v>
      </c>
      <c r="D87" s="107"/>
      <c r="E87" s="92"/>
      <c r="F87" s="107"/>
      <c r="G87" s="108"/>
      <c r="H87" s="94">
        <v>76.508620689655174</v>
      </c>
      <c r="I87" s="107">
        <v>58.55263157894737</v>
      </c>
      <c r="J87" s="107"/>
      <c r="K87" s="92"/>
      <c r="L87" s="107"/>
      <c r="M87" s="108"/>
      <c r="N87" s="109"/>
      <c r="O87" s="107"/>
      <c r="P87" s="107"/>
      <c r="Q87" s="110"/>
      <c r="R87" s="107"/>
      <c r="S87" s="108"/>
      <c r="T87" s="109"/>
      <c r="U87" s="107"/>
      <c r="V87" s="107"/>
      <c r="W87" s="110"/>
      <c r="X87" s="110"/>
      <c r="Y87" s="111"/>
      <c r="Z87" s="112">
        <v>66.071428571428569</v>
      </c>
      <c r="AA87" s="98"/>
      <c r="AB87" s="99"/>
      <c r="AC87" s="113"/>
      <c r="AD87" s="113"/>
      <c r="AE87" s="114"/>
      <c r="AF87" s="112">
        <v>66.071428571428569</v>
      </c>
      <c r="AG87" s="115"/>
      <c r="AH87" s="99"/>
      <c r="AI87" s="113"/>
      <c r="AJ87" s="113"/>
      <c r="AK87" s="114"/>
      <c r="AL87" s="99"/>
      <c r="AM87" s="99"/>
      <c r="AN87" s="99"/>
      <c r="AO87" s="113"/>
      <c r="AP87" s="113"/>
      <c r="AQ87" s="114"/>
      <c r="AR87" s="99"/>
      <c r="AS87" s="99"/>
      <c r="AT87" s="99"/>
      <c r="AU87" s="113"/>
      <c r="AV87" s="113"/>
      <c r="AW87" s="114"/>
      <c r="AX87" s="101"/>
      <c r="AY87" s="116"/>
      <c r="AZ87" s="117"/>
      <c r="BA87" s="116"/>
      <c r="BB87" s="117"/>
      <c r="BC87" s="118"/>
    </row>
    <row r="88" spans="1:55">
      <c r="A88" s="122" t="s">
        <v>458</v>
      </c>
      <c r="B88" s="106">
        <v>75.877192982456137</v>
      </c>
      <c r="C88" s="107">
        <v>80.769230769230774</v>
      </c>
      <c r="D88" s="107"/>
      <c r="E88" s="92"/>
      <c r="F88" s="107"/>
      <c r="G88" s="108"/>
      <c r="H88" s="94"/>
      <c r="I88" s="107"/>
      <c r="J88" s="107"/>
      <c r="K88" s="92"/>
      <c r="L88" s="107"/>
      <c r="M88" s="108"/>
      <c r="N88" s="109">
        <v>75.877192982456137</v>
      </c>
      <c r="O88" s="107">
        <v>80.769230769230774</v>
      </c>
      <c r="P88" s="107"/>
      <c r="Q88" s="110"/>
      <c r="R88" s="107"/>
      <c r="S88" s="108"/>
      <c r="T88" s="109"/>
      <c r="U88" s="107"/>
      <c r="V88" s="107"/>
      <c r="W88" s="110"/>
      <c r="X88" s="110"/>
      <c r="Y88" s="111"/>
      <c r="Z88" s="112"/>
      <c r="AA88" s="98"/>
      <c r="AB88" s="99"/>
      <c r="AC88" s="113"/>
      <c r="AD88" s="113"/>
      <c r="AE88" s="114"/>
      <c r="AF88" s="112"/>
      <c r="AG88" s="115"/>
      <c r="AH88" s="99"/>
      <c r="AI88" s="113"/>
      <c r="AJ88" s="113"/>
      <c r="AK88" s="114"/>
      <c r="AL88" s="99"/>
      <c r="AM88" s="99"/>
      <c r="AN88" s="99"/>
      <c r="AO88" s="113"/>
      <c r="AP88" s="113"/>
      <c r="AQ88" s="114"/>
      <c r="AR88" s="99"/>
      <c r="AS88" s="99"/>
      <c r="AT88" s="99"/>
      <c r="AU88" s="113"/>
      <c r="AV88" s="113"/>
      <c r="AW88" s="114"/>
      <c r="AX88" s="101"/>
      <c r="AY88" s="116"/>
      <c r="AZ88" s="117"/>
      <c r="BA88" s="116"/>
      <c r="BB88" s="117"/>
      <c r="BC88" s="118"/>
    </row>
    <row r="89" spans="1:55">
      <c r="A89" s="122" t="s">
        <v>556</v>
      </c>
      <c r="B89" s="106">
        <v>75.614754098360649</v>
      </c>
      <c r="C89" s="107">
        <v>100</v>
      </c>
      <c r="D89" s="107">
        <v>74.358974358974365</v>
      </c>
      <c r="E89" s="92">
        <v>91.666666666666671</v>
      </c>
      <c r="F89" s="107"/>
      <c r="G89" s="108"/>
      <c r="H89" s="94">
        <v>75.614754098360649</v>
      </c>
      <c r="I89" s="107">
        <v>100</v>
      </c>
      <c r="J89" s="107">
        <v>74.358974358974365</v>
      </c>
      <c r="K89" s="92">
        <v>91.666666666666671</v>
      </c>
      <c r="L89" s="107"/>
      <c r="M89" s="108"/>
      <c r="N89" s="109"/>
      <c r="O89" s="107"/>
      <c r="P89" s="107"/>
      <c r="Q89" s="110"/>
      <c r="R89" s="107"/>
      <c r="S89" s="108"/>
      <c r="T89" s="109"/>
      <c r="U89" s="107"/>
      <c r="V89" s="107"/>
      <c r="W89" s="110"/>
      <c r="X89" s="110"/>
      <c r="Y89" s="111"/>
      <c r="Z89" s="112">
        <v>91.228070175438603</v>
      </c>
      <c r="AA89" s="98"/>
      <c r="AB89" s="99"/>
      <c r="AC89" s="113"/>
      <c r="AD89" s="113"/>
      <c r="AE89" s="114"/>
      <c r="AF89" s="112">
        <v>91.228070175438603</v>
      </c>
      <c r="AG89" s="115"/>
      <c r="AH89" s="99"/>
      <c r="AI89" s="113"/>
      <c r="AJ89" s="113"/>
      <c r="AK89" s="114"/>
      <c r="AL89" s="99"/>
      <c r="AM89" s="99"/>
      <c r="AN89" s="99"/>
      <c r="AO89" s="113"/>
      <c r="AP89" s="113"/>
      <c r="AQ89" s="114"/>
      <c r="AR89" s="99"/>
      <c r="AS89" s="99"/>
      <c r="AT89" s="99"/>
      <c r="AU89" s="113"/>
      <c r="AV89" s="113"/>
      <c r="AW89" s="114"/>
      <c r="AX89" s="101"/>
      <c r="AY89" s="116"/>
      <c r="AZ89" s="117"/>
      <c r="BA89" s="116"/>
      <c r="BB89" s="117"/>
      <c r="BC89" s="118"/>
    </row>
    <row r="90" spans="1:55">
      <c r="A90" s="122" t="s">
        <v>557</v>
      </c>
      <c r="B90" s="106">
        <v>75</v>
      </c>
      <c r="C90" s="107">
        <v>57.5</v>
      </c>
      <c r="D90" s="107"/>
      <c r="E90" s="92"/>
      <c r="F90" s="107"/>
      <c r="G90" s="108"/>
      <c r="H90" s="94"/>
      <c r="I90" s="107"/>
      <c r="J90" s="107"/>
      <c r="K90" s="92"/>
      <c r="L90" s="107"/>
      <c r="M90" s="108"/>
      <c r="N90" s="109"/>
      <c r="O90" s="107"/>
      <c r="P90" s="107"/>
      <c r="Q90" s="110"/>
      <c r="R90" s="107"/>
      <c r="S90" s="108"/>
      <c r="T90" s="109">
        <v>75</v>
      </c>
      <c r="U90" s="107">
        <v>57.5</v>
      </c>
      <c r="V90" s="107"/>
      <c r="W90" s="110"/>
      <c r="X90" s="110"/>
      <c r="Y90" s="111"/>
      <c r="Z90" s="112"/>
      <c r="AA90" s="98"/>
      <c r="AB90" s="99"/>
      <c r="AC90" s="113"/>
      <c r="AD90" s="113"/>
      <c r="AE90" s="114"/>
      <c r="AF90" s="112"/>
      <c r="AG90" s="115"/>
      <c r="AH90" s="99"/>
      <c r="AI90" s="113"/>
      <c r="AJ90" s="113"/>
      <c r="AK90" s="114"/>
      <c r="AL90" s="99"/>
      <c r="AM90" s="99"/>
      <c r="AN90" s="99"/>
      <c r="AO90" s="113"/>
      <c r="AP90" s="113"/>
      <c r="AQ90" s="114"/>
      <c r="AR90" s="99"/>
      <c r="AS90" s="99"/>
      <c r="AT90" s="99"/>
      <c r="AU90" s="113"/>
      <c r="AV90" s="113"/>
      <c r="AW90" s="114"/>
      <c r="AX90" s="101"/>
      <c r="AY90" s="116"/>
      <c r="AZ90" s="117"/>
      <c r="BA90" s="116"/>
      <c r="BB90" s="117"/>
      <c r="BC90" s="118"/>
    </row>
    <row r="91" spans="1:55">
      <c r="A91" s="122" t="s">
        <v>558</v>
      </c>
      <c r="B91" s="106">
        <v>75</v>
      </c>
      <c r="C91" s="107">
        <v>97.435897435897431</v>
      </c>
      <c r="D91" s="107">
        <v>76.92307692307692</v>
      </c>
      <c r="E91" s="92"/>
      <c r="F91" s="107"/>
      <c r="G91" s="108"/>
      <c r="H91" s="94">
        <v>75</v>
      </c>
      <c r="I91" s="107">
        <v>97.435897435897431</v>
      </c>
      <c r="J91" s="107">
        <v>76.92307692307692</v>
      </c>
      <c r="K91" s="92"/>
      <c r="L91" s="107"/>
      <c r="M91" s="108"/>
      <c r="N91" s="109"/>
      <c r="O91" s="107"/>
      <c r="P91" s="107"/>
      <c r="Q91" s="110"/>
      <c r="R91" s="107"/>
      <c r="S91" s="108"/>
      <c r="T91" s="109"/>
      <c r="U91" s="107"/>
      <c r="V91" s="107"/>
      <c r="W91" s="110"/>
      <c r="X91" s="110"/>
      <c r="Y91" s="111"/>
      <c r="Z91" s="112">
        <v>93.220338983050851</v>
      </c>
      <c r="AA91" s="98"/>
      <c r="AB91" s="99"/>
      <c r="AC91" s="113"/>
      <c r="AD91" s="113"/>
      <c r="AE91" s="114"/>
      <c r="AF91" s="112">
        <v>93.220338983050851</v>
      </c>
      <c r="AG91" s="115"/>
      <c r="AH91" s="99"/>
      <c r="AI91" s="113"/>
      <c r="AJ91" s="113"/>
      <c r="AK91" s="114"/>
      <c r="AL91" s="99"/>
      <c r="AM91" s="99"/>
      <c r="AN91" s="99"/>
      <c r="AO91" s="113"/>
      <c r="AP91" s="113"/>
      <c r="AQ91" s="114"/>
      <c r="AR91" s="99"/>
      <c r="AS91" s="99"/>
      <c r="AT91" s="99"/>
      <c r="AU91" s="113"/>
      <c r="AV91" s="113"/>
      <c r="AW91" s="114"/>
      <c r="AX91" s="101"/>
      <c r="AY91" s="116"/>
      <c r="AZ91" s="117"/>
      <c r="BA91" s="116"/>
      <c r="BB91" s="117"/>
      <c r="BC91" s="118"/>
    </row>
    <row r="92" spans="1:55">
      <c r="A92" s="122" t="s">
        <v>559</v>
      </c>
      <c r="B92" s="106">
        <v>74.390243902439025</v>
      </c>
      <c r="C92" s="107">
        <v>89.743589743589737</v>
      </c>
      <c r="D92" s="107"/>
      <c r="E92" s="92"/>
      <c r="F92" s="107"/>
      <c r="G92" s="108"/>
      <c r="H92" s="94"/>
      <c r="I92" s="107"/>
      <c r="J92" s="107"/>
      <c r="K92" s="92"/>
      <c r="L92" s="107"/>
      <c r="M92" s="108"/>
      <c r="N92" s="109"/>
      <c r="O92" s="107"/>
      <c r="P92" s="107"/>
      <c r="Q92" s="110"/>
      <c r="R92" s="107"/>
      <c r="S92" s="108"/>
      <c r="T92" s="109">
        <v>74.390243902439025</v>
      </c>
      <c r="U92" s="107">
        <v>89.743589743589737</v>
      </c>
      <c r="V92" s="107"/>
      <c r="W92" s="110"/>
      <c r="X92" s="110"/>
      <c r="Y92" s="111"/>
      <c r="Z92" s="112"/>
      <c r="AA92" s="98"/>
      <c r="AB92" s="99"/>
      <c r="AC92" s="113"/>
      <c r="AD92" s="113"/>
      <c r="AE92" s="114"/>
      <c r="AF92" s="112"/>
      <c r="AG92" s="115"/>
      <c r="AH92" s="99"/>
      <c r="AI92" s="113"/>
      <c r="AJ92" s="113"/>
      <c r="AK92" s="114"/>
      <c r="AL92" s="99"/>
      <c r="AM92" s="99"/>
      <c r="AN92" s="99"/>
      <c r="AO92" s="113"/>
      <c r="AP92" s="113"/>
      <c r="AQ92" s="114"/>
      <c r="AR92" s="99"/>
      <c r="AS92" s="99"/>
      <c r="AT92" s="99"/>
      <c r="AU92" s="113"/>
      <c r="AV92" s="113"/>
      <c r="AW92" s="114"/>
      <c r="AX92" s="101"/>
      <c r="AY92" s="116"/>
      <c r="AZ92" s="117"/>
      <c r="BA92" s="116"/>
      <c r="BB92" s="117"/>
      <c r="BC92" s="118"/>
    </row>
    <row r="93" spans="1:55">
      <c r="A93" s="122" t="s">
        <v>560</v>
      </c>
      <c r="B93" s="106">
        <v>73.75</v>
      </c>
      <c r="C93" s="107">
        <v>85.897435897435898</v>
      </c>
      <c r="D93" s="107"/>
      <c r="E93" s="92"/>
      <c r="F93" s="107"/>
      <c r="G93" s="108"/>
      <c r="H93" s="94"/>
      <c r="I93" s="107"/>
      <c r="J93" s="107"/>
      <c r="K93" s="92"/>
      <c r="L93" s="107"/>
      <c r="M93" s="108"/>
      <c r="N93" s="109"/>
      <c r="O93" s="107"/>
      <c r="P93" s="107"/>
      <c r="Q93" s="110"/>
      <c r="R93" s="107"/>
      <c r="S93" s="108"/>
      <c r="T93" s="109">
        <v>73.75</v>
      </c>
      <c r="U93" s="107">
        <v>85.897435897435898</v>
      </c>
      <c r="V93" s="107"/>
      <c r="W93" s="110"/>
      <c r="X93" s="110"/>
      <c r="Y93" s="111"/>
      <c r="Z93" s="112"/>
      <c r="AA93" s="98"/>
      <c r="AB93" s="99"/>
      <c r="AC93" s="113"/>
      <c r="AD93" s="113"/>
      <c r="AE93" s="114"/>
      <c r="AF93" s="112"/>
      <c r="AG93" s="115"/>
      <c r="AH93" s="99"/>
      <c r="AI93" s="113"/>
      <c r="AJ93" s="113"/>
      <c r="AK93" s="114"/>
      <c r="AL93" s="99"/>
      <c r="AM93" s="99"/>
      <c r="AN93" s="99"/>
      <c r="AO93" s="113"/>
      <c r="AP93" s="113"/>
      <c r="AQ93" s="114"/>
      <c r="AR93" s="99"/>
      <c r="AS93" s="99"/>
      <c r="AT93" s="99"/>
      <c r="AU93" s="113"/>
      <c r="AV93" s="113"/>
      <c r="AW93" s="114"/>
      <c r="AX93" s="101"/>
      <c r="AY93" s="116"/>
      <c r="AZ93" s="117"/>
      <c r="BA93" s="116"/>
      <c r="BB93" s="117"/>
      <c r="BC93" s="118"/>
    </row>
    <row r="94" spans="1:55">
      <c r="A94" s="122" t="s">
        <v>561</v>
      </c>
      <c r="B94" s="106">
        <v>73.170731707317074</v>
      </c>
      <c r="C94" s="107">
        <v>75.714285714285708</v>
      </c>
      <c r="D94" s="107">
        <v>80.487804878048777</v>
      </c>
      <c r="E94" s="92"/>
      <c r="F94" s="107"/>
      <c r="G94" s="108"/>
      <c r="H94" s="94">
        <v>73.170731707317074</v>
      </c>
      <c r="I94" s="107">
        <v>75.714285714285708</v>
      </c>
      <c r="J94" s="107">
        <v>80.487804878048777</v>
      </c>
      <c r="K94" s="92"/>
      <c r="L94" s="107"/>
      <c r="M94" s="108"/>
      <c r="N94" s="109"/>
      <c r="O94" s="107"/>
      <c r="P94" s="107"/>
      <c r="Q94" s="110"/>
      <c r="R94" s="107"/>
      <c r="S94" s="108"/>
      <c r="T94" s="109"/>
      <c r="U94" s="107"/>
      <c r="V94" s="107"/>
      <c r="W94" s="110"/>
      <c r="X94" s="110"/>
      <c r="Y94" s="111"/>
      <c r="Z94" s="112">
        <v>79.824561403508767</v>
      </c>
      <c r="AA94" s="98"/>
      <c r="AB94" s="99"/>
      <c r="AC94" s="113"/>
      <c r="AD94" s="113"/>
      <c r="AE94" s="114"/>
      <c r="AF94" s="112">
        <v>79.824561403508767</v>
      </c>
      <c r="AG94" s="115"/>
      <c r="AH94" s="99"/>
      <c r="AI94" s="113"/>
      <c r="AJ94" s="113"/>
      <c r="AK94" s="114"/>
      <c r="AL94" s="99"/>
      <c r="AM94" s="99"/>
      <c r="AN94" s="99"/>
      <c r="AO94" s="113"/>
      <c r="AP94" s="113"/>
      <c r="AQ94" s="114"/>
      <c r="AR94" s="99"/>
      <c r="AS94" s="99"/>
      <c r="AT94" s="99"/>
      <c r="AU94" s="113"/>
      <c r="AV94" s="113"/>
      <c r="AW94" s="114"/>
      <c r="AX94" s="101"/>
      <c r="AY94" s="116"/>
      <c r="AZ94" s="117"/>
      <c r="BA94" s="116"/>
      <c r="BB94" s="117"/>
      <c r="BC94" s="118"/>
    </row>
    <row r="95" spans="1:55">
      <c r="A95" s="122" t="s">
        <v>562</v>
      </c>
      <c r="B95" s="106">
        <v>73.07692307692308</v>
      </c>
      <c r="C95" s="107">
        <v>83.75</v>
      </c>
      <c r="D95" s="107"/>
      <c r="E95" s="92"/>
      <c r="F95" s="107"/>
      <c r="G95" s="108"/>
      <c r="H95" s="94"/>
      <c r="I95" s="107"/>
      <c r="J95" s="107"/>
      <c r="K95" s="92"/>
      <c r="L95" s="107"/>
      <c r="M95" s="108"/>
      <c r="N95" s="109">
        <v>73.07692307692308</v>
      </c>
      <c r="O95" s="107">
        <v>83.75</v>
      </c>
      <c r="P95" s="107"/>
      <c r="Q95" s="110"/>
      <c r="R95" s="107"/>
      <c r="S95" s="108"/>
      <c r="T95" s="109"/>
      <c r="U95" s="107"/>
      <c r="V95" s="107"/>
      <c r="W95" s="110"/>
      <c r="X95" s="110"/>
      <c r="Y95" s="111"/>
      <c r="Z95" s="112"/>
      <c r="AA95" s="98"/>
      <c r="AB95" s="99"/>
      <c r="AC95" s="113"/>
      <c r="AD95" s="113"/>
      <c r="AE95" s="114"/>
      <c r="AF95" s="112"/>
      <c r="AG95" s="115"/>
      <c r="AH95" s="99"/>
      <c r="AI95" s="113"/>
      <c r="AJ95" s="113"/>
      <c r="AK95" s="114"/>
      <c r="AL95" s="99"/>
      <c r="AM95" s="99"/>
      <c r="AN95" s="99"/>
      <c r="AO95" s="113"/>
      <c r="AP95" s="113"/>
      <c r="AQ95" s="114"/>
      <c r="AR95" s="99"/>
      <c r="AS95" s="99"/>
      <c r="AT95" s="99"/>
      <c r="AU95" s="113"/>
      <c r="AV95" s="113"/>
      <c r="AW95" s="114"/>
      <c r="AX95" s="101"/>
      <c r="AY95" s="116"/>
      <c r="AZ95" s="117"/>
      <c r="BA95" s="116"/>
      <c r="BB95" s="117"/>
      <c r="BC95" s="118"/>
    </row>
    <row r="96" spans="1:55">
      <c r="A96" s="122" t="s">
        <v>563</v>
      </c>
      <c r="B96" s="106">
        <v>73.140495867768593</v>
      </c>
      <c r="C96" s="107">
        <v>57.638888888888886</v>
      </c>
      <c r="D96" s="107">
        <v>60.714285714285715</v>
      </c>
      <c r="E96" s="92">
        <v>86.619718309859152</v>
      </c>
      <c r="F96" s="107"/>
      <c r="G96" s="108"/>
      <c r="H96" s="94">
        <v>73.140495867768593</v>
      </c>
      <c r="I96" s="107">
        <v>57.638888888888886</v>
      </c>
      <c r="J96" s="107">
        <v>60.714285714285715</v>
      </c>
      <c r="K96" s="92">
        <v>86.619718309859152</v>
      </c>
      <c r="L96" s="107"/>
      <c r="M96" s="108"/>
      <c r="N96" s="109"/>
      <c r="O96" s="107"/>
      <c r="P96" s="107"/>
      <c r="Q96" s="110"/>
      <c r="R96" s="107"/>
      <c r="S96" s="108"/>
      <c r="T96" s="109"/>
      <c r="U96" s="107"/>
      <c r="V96" s="107"/>
      <c r="W96" s="110"/>
      <c r="X96" s="110"/>
      <c r="Y96" s="111"/>
      <c r="Z96" s="112">
        <v>69.568965517241381</v>
      </c>
      <c r="AA96" s="98">
        <v>0</v>
      </c>
      <c r="AB96" s="99"/>
      <c r="AC96" s="113"/>
      <c r="AD96" s="113"/>
      <c r="AE96" s="114"/>
      <c r="AF96" s="112">
        <v>69.568965517241381</v>
      </c>
      <c r="AG96" s="115">
        <v>0</v>
      </c>
      <c r="AH96" s="99"/>
      <c r="AI96" s="113"/>
      <c r="AJ96" s="113"/>
      <c r="AK96" s="114"/>
      <c r="AL96" s="99"/>
      <c r="AM96" s="99"/>
      <c r="AN96" s="99"/>
      <c r="AO96" s="113"/>
      <c r="AP96" s="113"/>
      <c r="AQ96" s="114"/>
      <c r="AR96" s="99"/>
      <c r="AS96" s="99"/>
      <c r="AT96" s="99"/>
      <c r="AU96" s="113"/>
      <c r="AV96" s="113"/>
      <c r="AW96" s="114"/>
      <c r="AX96" s="101"/>
      <c r="AY96" s="116"/>
      <c r="AZ96" s="117"/>
      <c r="BA96" s="116"/>
      <c r="BB96" s="117"/>
      <c r="BC96" s="118"/>
    </row>
    <row r="97" spans="1:55">
      <c r="A97" s="122" t="s">
        <v>564</v>
      </c>
      <c r="B97" s="106">
        <v>72.972972972972968</v>
      </c>
      <c r="C97" s="107">
        <v>80.555555555555557</v>
      </c>
      <c r="D97" s="107">
        <v>71.951219512195124</v>
      </c>
      <c r="E97" s="92">
        <v>82.352941176470594</v>
      </c>
      <c r="F97" s="107"/>
      <c r="G97" s="108"/>
      <c r="H97" s="94">
        <v>72.972972972972968</v>
      </c>
      <c r="I97" s="107">
        <v>80.555555555555557</v>
      </c>
      <c r="J97" s="107">
        <v>71.951219512195124</v>
      </c>
      <c r="K97" s="92">
        <v>82.352941176470594</v>
      </c>
      <c r="L97" s="107"/>
      <c r="M97" s="108"/>
      <c r="N97" s="109"/>
      <c r="O97" s="107"/>
      <c r="P97" s="107"/>
      <c r="Q97" s="110"/>
      <c r="R97" s="107"/>
      <c r="S97" s="108"/>
      <c r="T97" s="109"/>
      <c r="U97" s="107"/>
      <c r="V97" s="107"/>
      <c r="W97" s="110"/>
      <c r="X97" s="110"/>
      <c r="Y97" s="111"/>
      <c r="Z97" s="112">
        <v>41.964285714285715</v>
      </c>
      <c r="AA97" s="98"/>
      <c r="AB97" s="99"/>
      <c r="AC97" s="113"/>
      <c r="AD97" s="113"/>
      <c r="AE97" s="114"/>
      <c r="AF97" s="112">
        <v>41.964285714285715</v>
      </c>
      <c r="AG97" s="115"/>
      <c r="AH97" s="99"/>
      <c r="AI97" s="113"/>
      <c r="AJ97" s="113"/>
      <c r="AK97" s="114"/>
      <c r="AL97" s="99"/>
      <c r="AM97" s="99"/>
      <c r="AN97" s="99"/>
      <c r="AO97" s="113"/>
      <c r="AP97" s="113"/>
      <c r="AQ97" s="114"/>
      <c r="AR97" s="99"/>
      <c r="AS97" s="99"/>
      <c r="AT97" s="99"/>
      <c r="AU97" s="113"/>
      <c r="AV97" s="113"/>
      <c r="AW97" s="114"/>
      <c r="AX97" s="101"/>
      <c r="AY97" s="116"/>
      <c r="AZ97" s="117"/>
      <c r="BA97" s="116"/>
      <c r="BB97" s="117"/>
      <c r="BC97" s="118"/>
    </row>
    <row r="98" spans="1:55">
      <c r="A98" s="122" t="s">
        <v>565</v>
      </c>
      <c r="B98" s="106">
        <v>72.782258064516128</v>
      </c>
      <c r="C98" s="107">
        <v>73.07692307692308</v>
      </c>
      <c r="D98" s="107">
        <v>71.951219512195124</v>
      </c>
      <c r="E98" s="92">
        <v>81.944444444444443</v>
      </c>
      <c r="F98" s="107"/>
      <c r="G98" s="108"/>
      <c r="H98" s="94">
        <v>72.782258064516128</v>
      </c>
      <c r="I98" s="107">
        <v>73.07692307692308</v>
      </c>
      <c r="J98" s="107">
        <v>71.951219512195124</v>
      </c>
      <c r="K98" s="92">
        <v>81.944444444444443</v>
      </c>
      <c r="L98" s="107"/>
      <c r="M98" s="108"/>
      <c r="N98" s="109"/>
      <c r="O98" s="107"/>
      <c r="P98" s="107"/>
      <c r="Q98" s="110"/>
      <c r="R98" s="107"/>
      <c r="S98" s="108"/>
      <c r="T98" s="109"/>
      <c r="U98" s="107"/>
      <c r="V98" s="107"/>
      <c r="W98" s="110"/>
      <c r="X98" s="110"/>
      <c r="Y98" s="111"/>
      <c r="Z98" s="112">
        <v>74.166666666666671</v>
      </c>
      <c r="AA98" s="98"/>
      <c r="AB98" s="99"/>
      <c r="AC98" s="113"/>
      <c r="AD98" s="113"/>
      <c r="AE98" s="114"/>
      <c r="AF98" s="112">
        <v>74.166666666666671</v>
      </c>
      <c r="AG98" s="115"/>
      <c r="AH98" s="99"/>
      <c r="AI98" s="113"/>
      <c r="AJ98" s="113"/>
      <c r="AK98" s="114"/>
      <c r="AL98" s="99"/>
      <c r="AM98" s="99"/>
      <c r="AN98" s="99"/>
      <c r="AO98" s="113"/>
      <c r="AP98" s="113"/>
      <c r="AQ98" s="114"/>
      <c r="AR98" s="99"/>
      <c r="AS98" s="99"/>
      <c r="AT98" s="99"/>
      <c r="AU98" s="113"/>
      <c r="AV98" s="113"/>
      <c r="AW98" s="114"/>
      <c r="AX98" s="101"/>
      <c r="AY98" s="116"/>
      <c r="AZ98" s="117"/>
      <c r="BA98" s="116"/>
      <c r="BB98" s="117"/>
      <c r="BC98" s="118"/>
    </row>
    <row r="99" spans="1:55">
      <c r="A99" s="122" t="s">
        <v>566</v>
      </c>
      <c r="B99" s="106">
        <v>72.540983606557376</v>
      </c>
      <c r="C99" s="107">
        <v>28.378378378378379</v>
      </c>
      <c r="D99" s="107"/>
      <c r="E99" s="92"/>
      <c r="F99" s="107"/>
      <c r="G99" s="108"/>
      <c r="H99" s="94"/>
      <c r="I99" s="107"/>
      <c r="J99" s="107"/>
      <c r="K99" s="92"/>
      <c r="L99" s="107"/>
      <c r="M99" s="108"/>
      <c r="N99" s="109">
        <v>72.540983606557376</v>
      </c>
      <c r="O99" s="107">
        <v>28.378378378378379</v>
      </c>
      <c r="P99" s="107"/>
      <c r="Q99" s="110"/>
      <c r="R99" s="107"/>
      <c r="S99" s="108"/>
      <c r="T99" s="109"/>
      <c r="U99" s="107"/>
      <c r="V99" s="107"/>
      <c r="W99" s="110"/>
      <c r="X99" s="110"/>
      <c r="Y99" s="111"/>
      <c r="Z99" s="112"/>
      <c r="AA99" s="98"/>
      <c r="AB99" s="99"/>
      <c r="AC99" s="113"/>
      <c r="AD99" s="113"/>
      <c r="AE99" s="114"/>
      <c r="AF99" s="112"/>
      <c r="AG99" s="115"/>
      <c r="AH99" s="99"/>
      <c r="AI99" s="113"/>
      <c r="AJ99" s="113"/>
      <c r="AK99" s="114"/>
      <c r="AL99" s="99"/>
      <c r="AM99" s="99"/>
      <c r="AN99" s="99"/>
      <c r="AO99" s="113"/>
      <c r="AP99" s="113"/>
      <c r="AQ99" s="114"/>
      <c r="AR99" s="99"/>
      <c r="AS99" s="99"/>
      <c r="AT99" s="99"/>
      <c r="AU99" s="113"/>
      <c r="AV99" s="113"/>
      <c r="AW99" s="114"/>
      <c r="AX99" s="101"/>
      <c r="AY99" s="116"/>
      <c r="AZ99" s="117"/>
      <c r="BA99" s="116"/>
      <c r="BB99" s="117"/>
      <c r="BC99" s="118"/>
    </row>
    <row r="100" spans="1:55">
      <c r="A100" s="122" t="s">
        <v>567</v>
      </c>
      <c r="B100" s="106">
        <v>72.177419354838705</v>
      </c>
      <c r="C100" s="107">
        <v>76.388888888888886</v>
      </c>
      <c r="D100" s="107"/>
      <c r="E100" s="92"/>
      <c r="F100" s="107"/>
      <c r="G100" s="108"/>
      <c r="H100" s="94">
        <v>72.177419354838705</v>
      </c>
      <c r="I100" s="107">
        <v>76.388888888888886</v>
      </c>
      <c r="J100" s="107"/>
      <c r="K100" s="92"/>
      <c r="L100" s="107"/>
      <c r="M100" s="108"/>
      <c r="N100" s="109"/>
      <c r="O100" s="107"/>
      <c r="P100" s="107"/>
      <c r="Q100" s="110"/>
      <c r="R100" s="107"/>
      <c r="S100" s="108"/>
      <c r="T100" s="109"/>
      <c r="U100" s="107"/>
      <c r="V100" s="107"/>
      <c r="W100" s="110"/>
      <c r="X100" s="110"/>
      <c r="Y100" s="111"/>
      <c r="Z100" s="112">
        <v>95.614035087719301</v>
      </c>
      <c r="AA100" s="98"/>
      <c r="AB100" s="99"/>
      <c r="AC100" s="113"/>
      <c r="AD100" s="113"/>
      <c r="AE100" s="114"/>
      <c r="AF100" s="112">
        <v>95.614035087719301</v>
      </c>
      <c r="AG100" s="115"/>
      <c r="AH100" s="99"/>
      <c r="AI100" s="113"/>
      <c r="AJ100" s="113"/>
      <c r="AK100" s="114"/>
      <c r="AL100" s="99"/>
      <c r="AM100" s="99"/>
      <c r="AN100" s="99"/>
      <c r="AO100" s="113"/>
      <c r="AP100" s="113"/>
      <c r="AQ100" s="114"/>
      <c r="AR100" s="99"/>
      <c r="AS100" s="99"/>
      <c r="AT100" s="99"/>
      <c r="AU100" s="113"/>
      <c r="AV100" s="113"/>
      <c r="AW100" s="114"/>
      <c r="AX100" s="101"/>
      <c r="AY100" s="116"/>
      <c r="AZ100" s="117"/>
      <c r="BA100" s="116"/>
      <c r="BB100" s="117"/>
      <c r="BC100" s="118"/>
    </row>
    <row r="101" spans="1:55">
      <c r="A101" s="122" t="s">
        <v>568</v>
      </c>
      <c r="B101" s="106">
        <v>71.875</v>
      </c>
      <c r="C101" s="107">
        <v>80.769230769230774</v>
      </c>
      <c r="D101" s="107"/>
      <c r="E101" s="92"/>
      <c r="F101" s="107"/>
      <c r="G101" s="108"/>
      <c r="H101" s="94"/>
      <c r="I101" s="107"/>
      <c r="J101" s="107"/>
      <c r="K101" s="92"/>
      <c r="L101" s="107"/>
      <c r="M101" s="108"/>
      <c r="N101" s="109"/>
      <c r="O101" s="107"/>
      <c r="P101" s="107"/>
      <c r="Q101" s="110"/>
      <c r="R101" s="107"/>
      <c r="S101" s="108"/>
      <c r="T101" s="109">
        <v>71.875</v>
      </c>
      <c r="U101" s="107">
        <v>80.769230769230774</v>
      </c>
      <c r="V101" s="107"/>
      <c r="W101" s="110"/>
      <c r="X101" s="110"/>
      <c r="Y101" s="111"/>
      <c r="Z101" s="112"/>
      <c r="AA101" s="98"/>
      <c r="AB101" s="99"/>
      <c r="AC101" s="113"/>
      <c r="AD101" s="113"/>
      <c r="AE101" s="114"/>
      <c r="AF101" s="112"/>
      <c r="AG101" s="115"/>
      <c r="AH101" s="99"/>
      <c r="AI101" s="113"/>
      <c r="AJ101" s="113"/>
      <c r="AK101" s="114"/>
      <c r="AL101" s="99"/>
      <c r="AM101" s="99"/>
      <c r="AN101" s="99"/>
      <c r="AO101" s="113"/>
      <c r="AP101" s="113"/>
      <c r="AQ101" s="114"/>
      <c r="AR101" s="99"/>
      <c r="AS101" s="99"/>
      <c r="AT101" s="99"/>
      <c r="AU101" s="113"/>
      <c r="AV101" s="113"/>
      <c r="AW101" s="114"/>
      <c r="AX101" s="101"/>
      <c r="AY101" s="116"/>
      <c r="AZ101" s="117"/>
      <c r="BA101" s="116"/>
      <c r="BB101" s="117"/>
      <c r="BC101" s="118"/>
    </row>
    <row r="102" spans="1:55">
      <c r="A102" s="122" t="s">
        <v>569</v>
      </c>
      <c r="B102" s="106">
        <v>71.875</v>
      </c>
      <c r="C102" s="107">
        <v>85.13513513513513</v>
      </c>
      <c r="D102" s="107">
        <v>75</v>
      </c>
      <c r="E102" s="92">
        <v>75</v>
      </c>
      <c r="F102" s="107"/>
      <c r="G102" s="108"/>
      <c r="H102" s="94">
        <v>71.875</v>
      </c>
      <c r="I102" s="107">
        <v>85.13513513513513</v>
      </c>
      <c r="J102" s="107">
        <v>75</v>
      </c>
      <c r="K102" s="92">
        <v>75</v>
      </c>
      <c r="L102" s="107"/>
      <c r="M102" s="108"/>
      <c r="N102" s="109"/>
      <c r="O102" s="107"/>
      <c r="P102" s="107"/>
      <c r="Q102" s="110"/>
      <c r="R102" s="107"/>
      <c r="S102" s="108"/>
      <c r="T102" s="109"/>
      <c r="U102" s="107"/>
      <c r="V102" s="107"/>
      <c r="W102" s="110"/>
      <c r="X102" s="110"/>
      <c r="Y102" s="111"/>
      <c r="Z102" s="112">
        <v>37.719298245614034</v>
      </c>
      <c r="AA102" s="98"/>
      <c r="AB102" s="99"/>
      <c r="AC102" s="113"/>
      <c r="AD102" s="113"/>
      <c r="AE102" s="114"/>
      <c r="AF102" s="112">
        <v>37.719298245614034</v>
      </c>
      <c r="AG102" s="115"/>
      <c r="AH102" s="99"/>
      <c r="AI102" s="113"/>
      <c r="AJ102" s="113"/>
      <c r="AK102" s="114"/>
      <c r="AL102" s="99"/>
      <c r="AM102" s="99"/>
      <c r="AN102" s="99"/>
      <c r="AO102" s="113"/>
      <c r="AP102" s="113"/>
      <c r="AQ102" s="114"/>
      <c r="AR102" s="99"/>
      <c r="AS102" s="99"/>
      <c r="AT102" s="99"/>
      <c r="AU102" s="113"/>
      <c r="AV102" s="113"/>
      <c r="AW102" s="114"/>
      <c r="AX102" s="101"/>
      <c r="AY102" s="116"/>
      <c r="AZ102" s="117"/>
      <c r="BA102" s="116"/>
      <c r="BB102" s="117"/>
      <c r="BC102" s="118"/>
    </row>
    <row r="103" spans="1:55">
      <c r="A103" s="122" t="s">
        <v>570</v>
      </c>
      <c r="B103" s="106">
        <v>71.111111111111114</v>
      </c>
      <c r="C103" s="107">
        <v>64.473684210526315</v>
      </c>
      <c r="D103" s="107"/>
      <c r="E103" s="92"/>
      <c r="F103" s="107"/>
      <c r="G103" s="108"/>
      <c r="H103" s="94"/>
      <c r="I103" s="107"/>
      <c r="J103" s="107"/>
      <c r="K103" s="92"/>
      <c r="L103" s="107"/>
      <c r="M103" s="108"/>
      <c r="N103" s="109"/>
      <c r="O103" s="107"/>
      <c r="P103" s="107"/>
      <c r="Q103" s="110"/>
      <c r="R103" s="107"/>
      <c r="S103" s="108"/>
      <c r="T103" s="109">
        <v>71.111111111111114</v>
      </c>
      <c r="U103" s="107">
        <v>64.473684210526315</v>
      </c>
      <c r="V103" s="107"/>
      <c r="W103" s="110"/>
      <c r="X103" s="110"/>
      <c r="Y103" s="111"/>
      <c r="Z103" s="112"/>
      <c r="AA103" s="98"/>
      <c r="AB103" s="99"/>
      <c r="AC103" s="113"/>
      <c r="AD103" s="113"/>
      <c r="AE103" s="114"/>
      <c r="AF103" s="112"/>
      <c r="AG103" s="115"/>
      <c r="AH103" s="99"/>
      <c r="AI103" s="113"/>
      <c r="AJ103" s="113"/>
      <c r="AK103" s="114"/>
      <c r="AL103" s="99"/>
      <c r="AM103" s="99"/>
      <c r="AN103" s="99"/>
      <c r="AO103" s="113"/>
      <c r="AP103" s="113"/>
      <c r="AQ103" s="114"/>
      <c r="AR103" s="99"/>
      <c r="AS103" s="99"/>
      <c r="AT103" s="99"/>
      <c r="AU103" s="113"/>
      <c r="AV103" s="113"/>
      <c r="AW103" s="114"/>
      <c r="AX103" s="101"/>
      <c r="AY103" s="116"/>
      <c r="AZ103" s="117"/>
      <c r="BA103" s="116"/>
      <c r="BB103" s="117"/>
      <c r="BC103" s="118"/>
    </row>
    <row r="104" spans="1:55">
      <c r="A104" s="122" t="s">
        <v>571</v>
      </c>
      <c r="B104" s="106">
        <v>70.378151260504197</v>
      </c>
      <c r="C104" s="107">
        <v>66.666666666666671</v>
      </c>
      <c r="D104" s="107"/>
      <c r="E104" s="92"/>
      <c r="F104" s="107"/>
      <c r="G104" s="108"/>
      <c r="H104" s="94"/>
      <c r="I104" s="107"/>
      <c r="J104" s="107"/>
      <c r="K104" s="92"/>
      <c r="L104" s="107"/>
      <c r="M104" s="108"/>
      <c r="N104" s="109">
        <v>70.378151260504197</v>
      </c>
      <c r="O104" s="107">
        <v>66.666666666666671</v>
      </c>
      <c r="P104" s="107"/>
      <c r="Q104" s="110"/>
      <c r="R104" s="107"/>
      <c r="S104" s="108"/>
      <c r="T104" s="109"/>
      <c r="U104" s="107"/>
      <c r="V104" s="107"/>
      <c r="W104" s="110"/>
      <c r="X104" s="110"/>
      <c r="Y104" s="111"/>
      <c r="Z104" s="112"/>
      <c r="AA104" s="98"/>
      <c r="AB104" s="99"/>
      <c r="AC104" s="113"/>
      <c r="AD104" s="113"/>
      <c r="AE104" s="114"/>
      <c r="AF104" s="112"/>
      <c r="AG104" s="115"/>
      <c r="AH104" s="99"/>
      <c r="AI104" s="113"/>
      <c r="AJ104" s="113"/>
      <c r="AK104" s="114"/>
      <c r="AL104" s="99"/>
      <c r="AM104" s="99"/>
      <c r="AN104" s="99"/>
      <c r="AO104" s="113"/>
      <c r="AP104" s="113"/>
      <c r="AQ104" s="114"/>
      <c r="AR104" s="99"/>
      <c r="AS104" s="99"/>
      <c r="AT104" s="99"/>
      <c r="AU104" s="113"/>
      <c r="AV104" s="113"/>
      <c r="AW104" s="114"/>
      <c r="AX104" s="101"/>
      <c r="AY104" s="116"/>
      <c r="AZ104" s="117"/>
      <c r="BA104" s="116"/>
      <c r="BB104" s="117"/>
      <c r="BC104" s="118"/>
    </row>
    <row r="105" spans="1:55">
      <c r="A105" s="122" t="s">
        <v>572</v>
      </c>
      <c r="B105" s="106">
        <v>70.270270270270274</v>
      </c>
      <c r="C105" s="107"/>
      <c r="D105" s="107"/>
      <c r="E105" s="92"/>
      <c r="F105" s="107"/>
      <c r="G105" s="108"/>
      <c r="H105" s="94"/>
      <c r="I105" s="107"/>
      <c r="J105" s="107"/>
      <c r="K105" s="92"/>
      <c r="L105" s="107"/>
      <c r="M105" s="108"/>
      <c r="N105" s="109"/>
      <c r="O105" s="107"/>
      <c r="P105" s="107"/>
      <c r="Q105" s="110"/>
      <c r="R105" s="107"/>
      <c r="S105" s="108"/>
      <c r="T105" s="109">
        <v>70.270270270270274</v>
      </c>
      <c r="U105" s="107"/>
      <c r="V105" s="107"/>
      <c r="W105" s="110"/>
      <c r="X105" s="110"/>
      <c r="Y105" s="111"/>
      <c r="Z105" s="112"/>
      <c r="AA105" s="98"/>
      <c r="AB105" s="99"/>
      <c r="AC105" s="113"/>
      <c r="AD105" s="113"/>
      <c r="AE105" s="114"/>
      <c r="AF105" s="112"/>
      <c r="AG105" s="115"/>
      <c r="AH105" s="99"/>
      <c r="AI105" s="113"/>
      <c r="AJ105" s="113"/>
      <c r="AK105" s="114"/>
      <c r="AL105" s="99"/>
      <c r="AM105" s="99"/>
      <c r="AN105" s="99"/>
      <c r="AO105" s="113"/>
      <c r="AP105" s="113"/>
      <c r="AQ105" s="114"/>
      <c r="AR105" s="99"/>
      <c r="AS105" s="99"/>
      <c r="AT105" s="99"/>
      <c r="AU105" s="113"/>
      <c r="AV105" s="113"/>
      <c r="AW105" s="114"/>
      <c r="AX105" s="101"/>
      <c r="AY105" s="116"/>
      <c r="AZ105" s="117"/>
      <c r="BA105" s="116"/>
      <c r="BB105" s="117"/>
      <c r="BC105" s="118"/>
    </row>
    <row r="106" spans="1:55">
      <c r="A106" s="122" t="s">
        <v>573</v>
      </c>
      <c r="B106" s="106">
        <v>70</v>
      </c>
      <c r="C106" s="107">
        <v>67.948717948717942</v>
      </c>
      <c r="D106" s="107"/>
      <c r="E106" s="92"/>
      <c r="F106" s="107"/>
      <c r="G106" s="108"/>
      <c r="H106" s="94"/>
      <c r="I106" s="107"/>
      <c r="J106" s="107"/>
      <c r="K106" s="92"/>
      <c r="L106" s="107"/>
      <c r="M106" s="108"/>
      <c r="N106" s="109"/>
      <c r="O106" s="107"/>
      <c r="P106" s="107"/>
      <c r="Q106" s="110"/>
      <c r="R106" s="107"/>
      <c r="S106" s="108"/>
      <c r="T106" s="109">
        <v>70</v>
      </c>
      <c r="U106" s="107">
        <v>67.948717948717942</v>
      </c>
      <c r="V106" s="107"/>
      <c r="W106" s="110"/>
      <c r="X106" s="110"/>
      <c r="Y106" s="111"/>
      <c r="Z106" s="112"/>
      <c r="AA106" s="98"/>
      <c r="AB106" s="99"/>
      <c r="AC106" s="113"/>
      <c r="AD106" s="113"/>
      <c r="AE106" s="114"/>
      <c r="AF106" s="112"/>
      <c r="AG106" s="115"/>
      <c r="AH106" s="99"/>
      <c r="AI106" s="113"/>
      <c r="AJ106" s="113"/>
      <c r="AK106" s="114"/>
      <c r="AL106" s="99"/>
      <c r="AM106" s="99"/>
      <c r="AN106" s="99"/>
      <c r="AO106" s="113"/>
      <c r="AP106" s="113"/>
      <c r="AQ106" s="114"/>
      <c r="AR106" s="99"/>
      <c r="AS106" s="99"/>
      <c r="AT106" s="99"/>
      <c r="AU106" s="113"/>
      <c r="AV106" s="113"/>
      <c r="AW106" s="114"/>
      <c r="AX106" s="101"/>
      <c r="AY106" s="116"/>
      <c r="AZ106" s="117"/>
      <c r="BA106" s="116"/>
      <c r="BB106" s="117"/>
      <c r="BC106" s="118"/>
    </row>
    <row r="107" spans="1:55">
      <c r="A107" s="122" t="s">
        <v>574</v>
      </c>
      <c r="B107" s="106">
        <v>69.642857142857139</v>
      </c>
      <c r="C107" s="107">
        <v>58.333333333333336</v>
      </c>
      <c r="D107" s="107"/>
      <c r="E107" s="92"/>
      <c r="F107" s="107"/>
      <c r="G107" s="108"/>
      <c r="H107" s="94"/>
      <c r="I107" s="107"/>
      <c r="J107" s="107"/>
      <c r="K107" s="92"/>
      <c r="L107" s="107"/>
      <c r="M107" s="108"/>
      <c r="N107" s="109"/>
      <c r="O107" s="107"/>
      <c r="P107" s="107"/>
      <c r="Q107" s="110"/>
      <c r="R107" s="107"/>
      <c r="S107" s="108"/>
      <c r="T107" s="109">
        <v>69.642857142857139</v>
      </c>
      <c r="U107" s="107">
        <v>58.333333333333336</v>
      </c>
      <c r="V107" s="107"/>
      <c r="W107" s="110"/>
      <c r="X107" s="110"/>
      <c r="Y107" s="111"/>
      <c r="Z107" s="112"/>
      <c r="AA107" s="98"/>
      <c r="AB107" s="99"/>
      <c r="AC107" s="113"/>
      <c r="AD107" s="113"/>
      <c r="AE107" s="114"/>
      <c r="AF107" s="112"/>
      <c r="AG107" s="115"/>
      <c r="AH107" s="99"/>
      <c r="AI107" s="113"/>
      <c r="AJ107" s="113"/>
      <c r="AK107" s="114"/>
      <c r="AL107" s="99"/>
      <c r="AM107" s="99"/>
      <c r="AN107" s="99"/>
      <c r="AO107" s="113"/>
      <c r="AP107" s="113"/>
      <c r="AQ107" s="114"/>
      <c r="AR107" s="99"/>
      <c r="AS107" s="99"/>
      <c r="AT107" s="99"/>
      <c r="AU107" s="113"/>
      <c r="AV107" s="113"/>
      <c r="AW107" s="114"/>
      <c r="AX107" s="101"/>
      <c r="AY107" s="116"/>
      <c r="AZ107" s="117"/>
      <c r="BA107" s="116"/>
      <c r="BB107" s="117"/>
      <c r="BC107" s="118"/>
    </row>
    <row r="108" spans="1:55">
      <c r="A108" s="122" t="s">
        <v>575</v>
      </c>
      <c r="B108" s="106">
        <v>68.75</v>
      </c>
      <c r="C108" s="107">
        <v>63.513513513513516</v>
      </c>
      <c r="D108" s="107"/>
      <c r="E108" s="92"/>
      <c r="F108" s="107"/>
      <c r="G108" s="108"/>
      <c r="H108" s="94"/>
      <c r="I108" s="107"/>
      <c r="J108" s="107"/>
      <c r="K108" s="92"/>
      <c r="L108" s="107"/>
      <c r="M108" s="108"/>
      <c r="N108" s="109">
        <v>68.75</v>
      </c>
      <c r="O108" s="107">
        <v>63.513513513513516</v>
      </c>
      <c r="P108" s="107"/>
      <c r="Q108" s="110"/>
      <c r="R108" s="107"/>
      <c r="S108" s="108"/>
      <c r="T108" s="109"/>
      <c r="U108" s="107"/>
      <c r="V108" s="107"/>
      <c r="W108" s="110"/>
      <c r="X108" s="110"/>
      <c r="Y108" s="111"/>
      <c r="Z108" s="112"/>
      <c r="AA108" s="98"/>
      <c r="AB108" s="99"/>
      <c r="AC108" s="113"/>
      <c r="AD108" s="113"/>
      <c r="AE108" s="114"/>
      <c r="AF108" s="112"/>
      <c r="AG108" s="115"/>
      <c r="AH108" s="99"/>
      <c r="AI108" s="113"/>
      <c r="AJ108" s="113"/>
      <c r="AK108" s="114"/>
      <c r="AL108" s="99"/>
      <c r="AM108" s="99"/>
      <c r="AN108" s="99"/>
      <c r="AO108" s="113"/>
      <c r="AP108" s="113"/>
      <c r="AQ108" s="114"/>
      <c r="AR108" s="99"/>
      <c r="AS108" s="99"/>
      <c r="AT108" s="99"/>
      <c r="AU108" s="113"/>
      <c r="AV108" s="113"/>
      <c r="AW108" s="114"/>
      <c r="AX108" s="101"/>
      <c r="AY108" s="116"/>
      <c r="AZ108" s="117"/>
      <c r="BA108" s="116"/>
      <c r="BB108" s="117"/>
      <c r="BC108" s="118"/>
    </row>
    <row r="109" spans="1:55">
      <c r="A109" s="122" t="s">
        <v>576</v>
      </c>
      <c r="B109" s="106">
        <v>68.518518518518519</v>
      </c>
      <c r="C109" s="107">
        <v>48.275862068965516</v>
      </c>
      <c r="D109" s="107"/>
      <c r="E109" s="92"/>
      <c r="F109" s="107"/>
      <c r="G109" s="108"/>
      <c r="H109" s="94"/>
      <c r="I109" s="107"/>
      <c r="J109" s="107"/>
      <c r="K109" s="92"/>
      <c r="L109" s="107"/>
      <c r="M109" s="108"/>
      <c r="N109" s="109">
        <v>68.518518518518519</v>
      </c>
      <c r="O109" s="107">
        <v>48.275862068965516</v>
      </c>
      <c r="P109" s="107"/>
      <c r="Q109" s="110"/>
      <c r="R109" s="107"/>
      <c r="S109" s="108"/>
      <c r="T109" s="109"/>
      <c r="U109" s="107"/>
      <c r="V109" s="107"/>
      <c r="W109" s="110"/>
      <c r="X109" s="110"/>
      <c r="Y109" s="111"/>
      <c r="Z109" s="112"/>
      <c r="AA109" s="98"/>
      <c r="AB109" s="99"/>
      <c r="AC109" s="113"/>
      <c r="AD109" s="113"/>
      <c r="AE109" s="114"/>
      <c r="AF109" s="112"/>
      <c r="AG109" s="115"/>
      <c r="AH109" s="99"/>
      <c r="AI109" s="113"/>
      <c r="AJ109" s="113"/>
      <c r="AK109" s="114"/>
      <c r="AL109" s="99"/>
      <c r="AM109" s="99"/>
      <c r="AN109" s="99"/>
      <c r="AO109" s="113"/>
      <c r="AP109" s="113"/>
      <c r="AQ109" s="114"/>
      <c r="AR109" s="99"/>
      <c r="AS109" s="99"/>
      <c r="AT109" s="99"/>
      <c r="AU109" s="113"/>
      <c r="AV109" s="113"/>
      <c r="AW109" s="114"/>
      <c r="AX109" s="101"/>
      <c r="AY109" s="116"/>
      <c r="AZ109" s="117"/>
      <c r="BA109" s="116"/>
      <c r="BB109" s="117"/>
      <c r="BC109" s="118"/>
    </row>
    <row r="110" spans="1:55">
      <c r="A110" s="122" t="s">
        <v>577</v>
      </c>
      <c r="B110" s="106">
        <v>68.023255813953483</v>
      </c>
      <c r="C110" s="107"/>
      <c r="D110" s="107"/>
      <c r="E110" s="92"/>
      <c r="F110" s="107"/>
      <c r="G110" s="108"/>
      <c r="H110" s="94">
        <v>68.023255813953483</v>
      </c>
      <c r="I110" s="107"/>
      <c r="J110" s="107"/>
      <c r="K110" s="92"/>
      <c r="L110" s="107"/>
      <c r="M110" s="108"/>
      <c r="N110" s="109"/>
      <c r="O110" s="107"/>
      <c r="P110" s="107"/>
      <c r="Q110" s="110"/>
      <c r="R110" s="107"/>
      <c r="S110" s="108"/>
      <c r="T110" s="109"/>
      <c r="U110" s="107"/>
      <c r="V110" s="107"/>
      <c r="W110" s="110"/>
      <c r="X110" s="110"/>
      <c r="Y110" s="111"/>
      <c r="Z110" s="112"/>
      <c r="AA110" s="98"/>
      <c r="AB110" s="99"/>
      <c r="AC110" s="113"/>
      <c r="AD110" s="113"/>
      <c r="AE110" s="114"/>
      <c r="AF110" s="112"/>
      <c r="AG110" s="115"/>
      <c r="AH110" s="99"/>
      <c r="AI110" s="113"/>
      <c r="AJ110" s="113"/>
      <c r="AK110" s="114"/>
      <c r="AL110" s="99"/>
      <c r="AM110" s="99"/>
      <c r="AN110" s="99"/>
      <c r="AO110" s="113"/>
      <c r="AP110" s="113"/>
      <c r="AQ110" s="114"/>
      <c r="AR110" s="99"/>
      <c r="AS110" s="99"/>
      <c r="AT110" s="99"/>
      <c r="AU110" s="113"/>
      <c r="AV110" s="113"/>
      <c r="AW110" s="114"/>
      <c r="AX110" s="101"/>
      <c r="AY110" s="116"/>
      <c r="AZ110" s="117"/>
      <c r="BA110" s="116"/>
      <c r="BB110" s="117"/>
      <c r="BC110" s="118"/>
    </row>
    <row r="111" spans="1:55">
      <c r="A111" s="122" t="s">
        <v>578</v>
      </c>
      <c r="B111" s="106">
        <v>67.857142857142861</v>
      </c>
      <c r="C111" s="107">
        <v>68.292682926829272</v>
      </c>
      <c r="D111" s="107"/>
      <c r="E111" s="92"/>
      <c r="F111" s="107"/>
      <c r="G111" s="108"/>
      <c r="H111" s="94"/>
      <c r="I111" s="107"/>
      <c r="J111" s="107"/>
      <c r="K111" s="92"/>
      <c r="L111" s="107"/>
      <c r="M111" s="108"/>
      <c r="N111" s="109"/>
      <c r="O111" s="107"/>
      <c r="P111" s="107"/>
      <c r="Q111" s="110"/>
      <c r="R111" s="107"/>
      <c r="S111" s="108"/>
      <c r="T111" s="109">
        <v>67.857142857142861</v>
      </c>
      <c r="U111" s="107">
        <v>68.292682926829272</v>
      </c>
      <c r="V111" s="107"/>
      <c r="W111" s="110"/>
      <c r="X111" s="110"/>
      <c r="Y111" s="111"/>
      <c r="Z111" s="112"/>
      <c r="AA111" s="98"/>
      <c r="AB111" s="99"/>
      <c r="AC111" s="113"/>
      <c r="AD111" s="113"/>
      <c r="AE111" s="114"/>
      <c r="AF111" s="112"/>
      <c r="AG111" s="115"/>
      <c r="AH111" s="99"/>
      <c r="AI111" s="113"/>
      <c r="AJ111" s="113"/>
      <c r="AK111" s="114"/>
      <c r="AL111" s="99"/>
      <c r="AM111" s="99"/>
      <c r="AN111" s="99"/>
      <c r="AO111" s="113"/>
      <c r="AP111" s="113"/>
      <c r="AQ111" s="114"/>
      <c r="AR111" s="99"/>
      <c r="AS111" s="99"/>
      <c r="AT111" s="99"/>
      <c r="AU111" s="113"/>
      <c r="AV111" s="113"/>
      <c r="AW111" s="114"/>
      <c r="AX111" s="101"/>
      <c r="AY111" s="116"/>
      <c r="AZ111" s="117"/>
      <c r="BA111" s="116"/>
      <c r="BB111" s="117"/>
      <c r="BC111" s="118"/>
    </row>
    <row r="112" spans="1:55">
      <c r="A112" s="122" t="s">
        <v>579</v>
      </c>
      <c r="B112" s="106">
        <v>67.521367521367523</v>
      </c>
      <c r="C112" s="107">
        <v>79.729729729729726</v>
      </c>
      <c r="D112" s="107"/>
      <c r="E112" s="92"/>
      <c r="F112" s="107"/>
      <c r="G112" s="108"/>
      <c r="H112" s="94"/>
      <c r="I112" s="107"/>
      <c r="J112" s="107"/>
      <c r="K112" s="92"/>
      <c r="L112" s="107"/>
      <c r="M112" s="108"/>
      <c r="N112" s="109">
        <v>67.521367521367523</v>
      </c>
      <c r="O112" s="107">
        <v>79.729729729729726</v>
      </c>
      <c r="P112" s="107"/>
      <c r="Q112" s="110"/>
      <c r="R112" s="107"/>
      <c r="S112" s="108"/>
      <c r="T112" s="109"/>
      <c r="U112" s="107"/>
      <c r="V112" s="107"/>
      <c r="W112" s="110"/>
      <c r="X112" s="110"/>
      <c r="Y112" s="111"/>
      <c r="Z112" s="112"/>
      <c r="AA112" s="98"/>
      <c r="AB112" s="99"/>
      <c r="AC112" s="113"/>
      <c r="AD112" s="113"/>
      <c r="AE112" s="114"/>
      <c r="AF112" s="112"/>
      <c r="AG112" s="115"/>
      <c r="AH112" s="99"/>
      <c r="AI112" s="113"/>
      <c r="AJ112" s="113"/>
      <c r="AK112" s="114"/>
      <c r="AL112" s="99"/>
      <c r="AM112" s="99"/>
      <c r="AN112" s="99"/>
      <c r="AO112" s="113"/>
      <c r="AP112" s="113"/>
      <c r="AQ112" s="114"/>
      <c r="AR112" s="99"/>
      <c r="AS112" s="99"/>
      <c r="AT112" s="99"/>
      <c r="AU112" s="113"/>
      <c r="AV112" s="113"/>
      <c r="AW112" s="114"/>
      <c r="AX112" s="101"/>
      <c r="AY112" s="116"/>
      <c r="AZ112" s="117"/>
      <c r="BA112" s="116"/>
      <c r="BB112" s="117"/>
      <c r="BC112" s="118"/>
    </row>
    <row r="113" spans="1:55">
      <c r="A113" s="122" t="s">
        <v>580</v>
      </c>
      <c r="B113" s="106">
        <v>67.441860465116278</v>
      </c>
      <c r="C113" s="107">
        <v>73.684210526315795</v>
      </c>
      <c r="D113" s="107"/>
      <c r="E113" s="92"/>
      <c r="F113" s="107"/>
      <c r="G113" s="108"/>
      <c r="H113" s="94"/>
      <c r="I113" s="107"/>
      <c r="J113" s="107"/>
      <c r="K113" s="92"/>
      <c r="L113" s="107"/>
      <c r="M113" s="108"/>
      <c r="N113" s="109"/>
      <c r="O113" s="107"/>
      <c r="P113" s="107"/>
      <c r="Q113" s="110"/>
      <c r="R113" s="107"/>
      <c r="S113" s="108"/>
      <c r="T113" s="109">
        <v>67.441860465116278</v>
      </c>
      <c r="U113" s="107">
        <v>73.684210526315795</v>
      </c>
      <c r="V113" s="107"/>
      <c r="W113" s="110"/>
      <c r="X113" s="110"/>
      <c r="Y113" s="111"/>
      <c r="Z113" s="112"/>
      <c r="AA113" s="98"/>
      <c r="AB113" s="99"/>
      <c r="AC113" s="113"/>
      <c r="AD113" s="113"/>
      <c r="AE113" s="114"/>
      <c r="AF113" s="112"/>
      <c r="AG113" s="115"/>
      <c r="AH113" s="99"/>
      <c r="AI113" s="113"/>
      <c r="AJ113" s="113"/>
      <c r="AK113" s="114"/>
      <c r="AL113" s="99"/>
      <c r="AM113" s="99"/>
      <c r="AN113" s="99"/>
      <c r="AO113" s="113"/>
      <c r="AP113" s="113"/>
      <c r="AQ113" s="114"/>
      <c r="AR113" s="99"/>
      <c r="AS113" s="99"/>
      <c r="AT113" s="99"/>
      <c r="AU113" s="113"/>
      <c r="AV113" s="113"/>
      <c r="AW113" s="114"/>
      <c r="AX113" s="101"/>
      <c r="AY113" s="116"/>
      <c r="AZ113" s="117"/>
      <c r="BA113" s="116"/>
      <c r="BB113" s="117"/>
      <c r="BC113" s="118"/>
    </row>
    <row r="114" spans="1:55">
      <c r="A114" s="122" t="s">
        <v>581</v>
      </c>
      <c r="B114" s="106">
        <v>67.073170731707322</v>
      </c>
      <c r="C114" s="107">
        <v>48.717948717948715</v>
      </c>
      <c r="D114" s="107"/>
      <c r="E114" s="92"/>
      <c r="F114" s="107"/>
      <c r="G114" s="108"/>
      <c r="H114" s="94"/>
      <c r="I114" s="107"/>
      <c r="J114" s="107"/>
      <c r="K114" s="92"/>
      <c r="L114" s="107"/>
      <c r="M114" s="108"/>
      <c r="N114" s="109"/>
      <c r="O114" s="107"/>
      <c r="P114" s="107"/>
      <c r="Q114" s="110"/>
      <c r="R114" s="107"/>
      <c r="S114" s="108"/>
      <c r="T114" s="109">
        <v>67.073170731707322</v>
      </c>
      <c r="U114" s="107">
        <v>48.717948717948715</v>
      </c>
      <c r="V114" s="107"/>
      <c r="W114" s="110"/>
      <c r="X114" s="110"/>
      <c r="Y114" s="111"/>
      <c r="Z114" s="112"/>
      <c r="AA114" s="98"/>
      <c r="AB114" s="99"/>
      <c r="AC114" s="113"/>
      <c r="AD114" s="113"/>
      <c r="AE114" s="114"/>
      <c r="AF114" s="112"/>
      <c r="AG114" s="115"/>
      <c r="AH114" s="99"/>
      <c r="AI114" s="113"/>
      <c r="AJ114" s="113"/>
      <c r="AK114" s="114"/>
      <c r="AL114" s="99"/>
      <c r="AM114" s="99"/>
      <c r="AN114" s="99"/>
      <c r="AO114" s="113"/>
      <c r="AP114" s="113"/>
      <c r="AQ114" s="114"/>
      <c r="AR114" s="99"/>
      <c r="AS114" s="99"/>
      <c r="AT114" s="99"/>
      <c r="AU114" s="113"/>
      <c r="AV114" s="113"/>
      <c r="AW114" s="114"/>
      <c r="AX114" s="101"/>
      <c r="AY114" s="116"/>
      <c r="AZ114" s="117"/>
      <c r="BA114" s="116"/>
      <c r="BB114" s="117"/>
      <c r="BC114" s="118"/>
    </row>
    <row r="115" spans="1:55">
      <c r="A115" s="122" t="s">
        <v>582</v>
      </c>
      <c r="B115" s="106">
        <v>67.10526315789474</v>
      </c>
      <c r="C115" s="107">
        <v>85</v>
      </c>
      <c r="D115" s="107"/>
      <c r="E115" s="92"/>
      <c r="F115" s="107"/>
      <c r="G115" s="108"/>
      <c r="H115" s="94"/>
      <c r="I115" s="107"/>
      <c r="J115" s="107"/>
      <c r="K115" s="92"/>
      <c r="L115" s="107"/>
      <c r="M115" s="108"/>
      <c r="N115" s="109"/>
      <c r="O115" s="107"/>
      <c r="P115" s="107"/>
      <c r="Q115" s="110"/>
      <c r="R115" s="107"/>
      <c r="S115" s="108"/>
      <c r="T115" s="109">
        <v>67.10526315789474</v>
      </c>
      <c r="U115" s="107">
        <v>85</v>
      </c>
      <c r="V115" s="107"/>
      <c r="W115" s="110"/>
      <c r="X115" s="110"/>
      <c r="Y115" s="111"/>
      <c r="Z115" s="112"/>
      <c r="AA115" s="98"/>
      <c r="AB115" s="99"/>
      <c r="AC115" s="113"/>
      <c r="AD115" s="113"/>
      <c r="AE115" s="114"/>
      <c r="AF115" s="112"/>
      <c r="AG115" s="115"/>
      <c r="AH115" s="99"/>
      <c r="AI115" s="113"/>
      <c r="AJ115" s="113"/>
      <c r="AK115" s="114"/>
      <c r="AL115" s="99"/>
      <c r="AM115" s="99"/>
      <c r="AN115" s="99"/>
      <c r="AO115" s="113"/>
      <c r="AP115" s="113"/>
      <c r="AQ115" s="114"/>
      <c r="AR115" s="99"/>
      <c r="AS115" s="99"/>
      <c r="AT115" s="99"/>
      <c r="AU115" s="113"/>
      <c r="AV115" s="113"/>
      <c r="AW115" s="114"/>
      <c r="AX115" s="101"/>
      <c r="AY115" s="116"/>
      <c r="AZ115" s="117"/>
      <c r="BA115" s="116"/>
      <c r="BB115" s="117"/>
      <c r="BC115" s="118"/>
    </row>
    <row r="116" spans="1:55">
      <c r="A116" s="122" t="s">
        <v>583</v>
      </c>
      <c r="B116" s="106">
        <v>67.016806722689068</v>
      </c>
      <c r="C116" s="107">
        <v>87.179487179487182</v>
      </c>
      <c r="D116" s="107">
        <v>61.184210526315788</v>
      </c>
      <c r="E116" s="92"/>
      <c r="F116" s="107"/>
      <c r="G116" s="108"/>
      <c r="H116" s="94">
        <v>67.016806722689068</v>
      </c>
      <c r="I116" s="107">
        <v>87.179487179487182</v>
      </c>
      <c r="J116" s="107">
        <v>61.184210526315788</v>
      </c>
      <c r="K116" s="92"/>
      <c r="L116" s="107"/>
      <c r="M116" s="108"/>
      <c r="N116" s="109"/>
      <c r="O116" s="107"/>
      <c r="P116" s="107"/>
      <c r="Q116" s="110"/>
      <c r="R116" s="107"/>
      <c r="S116" s="108"/>
      <c r="T116" s="109"/>
      <c r="U116" s="107"/>
      <c r="V116" s="107"/>
      <c r="W116" s="110"/>
      <c r="X116" s="110"/>
      <c r="Y116" s="111"/>
      <c r="Z116" s="112">
        <v>84.21052631578948</v>
      </c>
      <c r="AA116" s="98"/>
      <c r="AB116" s="99"/>
      <c r="AC116" s="113"/>
      <c r="AD116" s="113"/>
      <c r="AE116" s="114"/>
      <c r="AF116" s="112">
        <v>84.21052631578948</v>
      </c>
      <c r="AG116" s="115"/>
      <c r="AH116" s="99"/>
      <c r="AI116" s="113"/>
      <c r="AJ116" s="113"/>
      <c r="AK116" s="114"/>
      <c r="AL116" s="99"/>
      <c r="AM116" s="99"/>
      <c r="AN116" s="99"/>
      <c r="AO116" s="113"/>
      <c r="AP116" s="113"/>
      <c r="AQ116" s="114"/>
      <c r="AR116" s="99"/>
      <c r="AS116" s="99"/>
      <c r="AT116" s="99"/>
      <c r="AU116" s="113"/>
      <c r="AV116" s="113"/>
      <c r="AW116" s="114"/>
      <c r="AX116" s="101"/>
      <c r="AY116" s="116"/>
      <c r="AZ116" s="117"/>
      <c r="BA116" s="116"/>
      <c r="BB116" s="117"/>
      <c r="BC116" s="118"/>
    </row>
    <row r="117" spans="1:55">
      <c r="A117" s="122" t="s">
        <v>584</v>
      </c>
      <c r="B117" s="106">
        <v>66.875</v>
      </c>
      <c r="C117" s="107">
        <v>92.5</v>
      </c>
      <c r="D117" s="107">
        <v>70.238095238095241</v>
      </c>
      <c r="E117" s="92"/>
      <c r="F117" s="107"/>
      <c r="G117" s="108"/>
      <c r="H117" s="94">
        <v>66.875</v>
      </c>
      <c r="I117" s="107">
        <v>92.5</v>
      </c>
      <c r="J117" s="107">
        <v>70.238095238095241</v>
      </c>
      <c r="K117" s="92"/>
      <c r="L117" s="107"/>
      <c r="M117" s="108"/>
      <c r="N117" s="109"/>
      <c r="O117" s="107"/>
      <c r="P117" s="107"/>
      <c r="Q117" s="110"/>
      <c r="R117" s="107"/>
      <c r="S117" s="108"/>
      <c r="T117" s="109"/>
      <c r="U117" s="107"/>
      <c r="V117" s="107"/>
      <c r="W117" s="110"/>
      <c r="X117" s="110"/>
      <c r="Y117" s="111"/>
      <c r="Z117" s="112">
        <v>71.666666666666671</v>
      </c>
      <c r="AA117" s="98"/>
      <c r="AB117" s="99"/>
      <c r="AC117" s="113"/>
      <c r="AD117" s="113"/>
      <c r="AE117" s="114"/>
      <c r="AF117" s="112">
        <v>71.666666666666671</v>
      </c>
      <c r="AG117" s="115"/>
      <c r="AH117" s="99"/>
      <c r="AI117" s="113"/>
      <c r="AJ117" s="113"/>
      <c r="AK117" s="114"/>
      <c r="AL117" s="99"/>
      <c r="AM117" s="99"/>
      <c r="AN117" s="99"/>
      <c r="AO117" s="113"/>
      <c r="AP117" s="113"/>
      <c r="AQ117" s="114"/>
      <c r="AR117" s="99"/>
      <c r="AS117" s="99"/>
      <c r="AT117" s="99"/>
      <c r="AU117" s="113"/>
      <c r="AV117" s="113"/>
      <c r="AW117" s="114"/>
      <c r="AX117" s="101"/>
      <c r="AY117" s="116"/>
      <c r="AZ117" s="117"/>
      <c r="BA117" s="116"/>
      <c r="BB117" s="117"/>
      <c r="BC117" s="118"/>
    </row>
    <row r="118" spans="1:55">
      <c r="A118" s="122" t="s">
        <v>585</v>
      </c>
      <c r="B118" s="106">
        <v>65.546218487394952</v>
      </c>
      <c r="C118" s="107"/>
      <c r="D118" s="107"/>
      <c r="E118" s="92"/>
      <c r="F118" s="107"/>
      <c r="G118" s="108"/>
      <c r="H118" s="94"/>
      <c r="I118" s="107"/>
      <c r="J118" s="107"/>
      <c r="K118" s="92"/>
      <c r="L118" s="107"/>
      <c r="M118" s="108"/>
      <c r="N118" s="109">
        <v>65.546218487394952</v>
      </c>
      <c r="O118" s="107"/>
      <c r="P118" s="107"/>
      <c r="Q118" s="110"/>
      <c r="R118" s="107"/>
      <c r="S118" s="108"/>
      <c r="T118" s="109"/>
      <c r="U118" s="107"/>
      <c r="V118" s="107"/>
      <c r="W118" s="110"/>
      <c r="X118" s="110"/>
      <c r="Y118" s="111"/>
      <c r="Z118" s="112"/>
      <c r="AA118" s="98"/>
      <c r="AB118" s="99"/>
      <c r="AC118" s="113"/>
      <c r="AD118" s="113"/>
      <c r="AE118" s="114"/>
      <c r="AF118" s="112"/>
      <c r="AG118" s="115"/>
      <c r="AH118" s="99"/>
      <c r="AI118" s="113"/>
      <c r="AJ118" s="113"/>
      <c r="AK118" s="114"/>
      <c r="AL118" s="99"/>
      <c r="AM118" s="99"/>
      <c r="AN118" s="99"/>
      <c r="AO118" s="113"/>
      <c r="AP118" s="113"/>
      <c r="AQ118" s="114"/>
      <c r="AR118" s="99"/>
      <c r="AS118" s="99"/>
      <c r="AT118" s="99"/>
      <c r="AU118" s="113"/>
      <c r="AV118" s="113"/>
      <c r="AW118" s="114"/>
      <c r="AX118" s="101"/>
      <c r="AY118" s="116"/>
      <c r="AZ118" s="117"/>
      <c r="BA118" s="116"/>
      <c r="BB118" s="117"/>
      <c r="BC118" s="118"/>
    </row>
    <row r="119" spans="1:55">
      <c r="A119" s="122" t="s">
        <v>586</v>
      </c>
      <c r="B119" s="106">
        <v>65.350877192982452</v>
      </c>
      <c r="C119" s="107">
        <v>65.131578947368425</v>
      </c>
      <c r="D119" s="107">
        <v>69.047619047619051</v>
      </c>
      <c r="E119" s="92"/>
      <c r="F119" s="107"/>
      <c r="G119" s="108"/>
      <c r="H119" s="94">
        <v>65.350877192982452</v>
      </c>
      <c r="I119" s="107">
        <v>65.131578947368425</v>
      </c>
      <c r="J119" s="107">
        <v>69.047619047619051</v>
      </c>
      <c r="K119" s="92"/>
      <c r="L119" s="107"/>
      <c r="M119" s="108"/>
      <c r="N119" s="109"/>
      <c r="O119" s="107"/>
      <c r="P119" s="107"/>
      <c r="Q119" s="110"/>
      <c r="R119" s="107"/>
      <c r="S119" s="108"/>
      <c r="T119" s="109"/>
      <c r="U119" s="107"/>
      <c r="V119" s="107"/>
      <c r="W119" s="110"/>
      <c r="X119" s="110"/>
      <c r="Y119" s="111"/>
      <c r="Z119" s="112">
        <v>58.96551724137931</v>
      </c>
      <c r="AA119" s="98"/>
      <c r="AB119" s="99"/>
      <c r="AC119" s="113"/>
      <c r="AD119" s="113"/>
      <c r="AE119" s="114"/>
      <c r="AF119" s="112">
        <v>58.96551724137931</v>
      </c>
      <c r="AG119" s="115"/>
      <c r="AH119" s="99"/>
      <c r="AI119" s="113"/>
      <c r="AJ119" s="113"/>
      <c r="AK119" s="114"/>
      <c r="AL119" s="99"/>
      <c r="AM119" s="99"/>
      <c r="AN119" s="99"/>
      <c r="AO119" s="113"/>
      <c r="AP119" s="113"/>
      <c r="AQ119" s="114"/>
      <c r="AR119" s="99"/>
      <c r="AS119" s="99"/>
      <c r="AT119" s="99"/>
      <c r="AU119" s="113"/>
      <c r="AV119" s="113"/>
      <c r="AW119" s="114"/>
      <c r="AX119" s="101"/>
      <c r="AY119" s="116"/>
      <c r="AZ119" s="117"/>
      <c r="BA119" s="116"/>
      <c r="BB119" s="117"/>
      <c r="BC119" s="118"/>
    </row>
    <row r="120" spans="1:55">
      <c r="A120" s="122" t="s">
        <v>587</v>
      </c>
      <c r="B120" s="106">
        <v>65.090090090090087</v>
      </c>
      <c r="C120" s="107">
        <v>61.805555555555557</v>
      </c>
      <c r="D120" s="107"/>
      <c r="E120" s="92"/>
      <c r="F120" s="107"/>
      <c r="G120" s="108"/>
      <c r="H120" s="94"/>
      <c r="I120" s="107"/>
      <c r="J120" s="107"/>
      <c r="K120" s="92"/>
      <c r="L120" s="107"/>
      <c r="M120" s="108"/>
      <c r="N120" s="109">
        <v>65.090090090090087</v>
      </c>
      <c r="O120" s="107">
        <v>61.805555555555557</v>
      </c>
      <c r="P120" s="107"/>
      <c r="Q120" s="110"/>
      <c r="R120" s="107"/>
      <c r="S120" s="108"/>
      <c r="T120" s="109"/>
      <c r="U120" s="107"/>
      <c r="V120" s="107"/>
      <c r="W120" s="110"/>
      <c r="X120" s="110"/>
      <c r="Y120" s="111"/>
      <c r="Z120" s="112"/>
      <c r="AA120" s="98"/>
      <c r="AB120" s="99"/>
      <c r="AC120" s="113"/>
      <c r="AD120" s="113"/>
      <c r="AE120" s="114"/>
      <c r="AF120" s="112"/>
      <c r="AG120" s="115"/>
      <c r="AH120" s="99"/>
      <c r="AI120" s="113"/>
      <c r="AJ120" s="113"/>
      <c r="AK120" s="114"/>
      <c r="AL120" s="99"/>
      <c r="AM120" s="99"/>
      <c r="AN120" s="99"/>
      <c r="AO120" s="113"/>
      <c r="AP120" s="113"/>
      <c r="AQ120" s="114"/>
      <c r="AR120" s="99"/>
      <c r="AS120" s="99"/>
      <c r="AT120" s="99"/>
      <c r="AU120" s="113"/>
      <c r="AV120" s="113"/>
      <c r="AW120" s="114"/>
      <c r="AX120" s="101"/>
      <c r="AY120" s="116"/>
      <c r="AZ120" s="117"/>
      <c r="BA120" s="116"/>
      <c r="BB120" s="117"/>
      <c r="BC120" s="118"/>
    </row>
    <row r="121" spans="1:55">
      <c r="A121" s="122" t="s">
        <v>588</v>
      </c>
      <c r="B121" s="106">
        <v>65</v>
      </c>
      <c r="C121" s="107">
        <v>75</v>
      </c>
      <c r="D121" s="107"/>
      <c r="E121" s="92"/>
      <c r="F121" s="107"/>
      <c r="G121" s="108"/>
      <c r="H121" s="94"/>
      <c r="I121" s="107"/>
      <c r="J121" s="107"/>
      <c r="K121" s="92"/>
      <c r="L121" s="107"/>
      <c r="M121" s="108"/>
      <c r="N121" s="109"/>
      <c r="O121" s="107"/>
      <c r="P121" s="107"/>
      <c r="Q121" s="110"/>
      <c r="R121" s="107"/>
      <c r="S121" s="108"/>
      <c r="T121" s="109">
        <v>65</v>
      </c>
      <c r="U121" s="107">
        <v>75</v>
      </c>
      <c r="V121" s="107"/>
      <c r="W121" s="110"/>
      <c r="X121" s="110"/>
      <c r="Y121" s="111"/>
      <c r="Z121" s="112"/>
      <c r="AA121" s="98"/>
      <c r="AB121" s="99"/>
      <c r="AC121" s="113"/>
      <c r="AD121" s="113"/>
      <c r="AE121" s="114"/>
      <c r="AF121" s="112"/>
      <c r="AG121" s="115"/>
      <c r="AH121" s="99"/>
      <c r="AI121" s="113"/>
      <c r="AJ121" s="113"/>
      <c r="AK121" s="114"/>
      <c r="AL121" s="99"/>
      <c r="AM121" s="99"/>
      <c r="AN121" s="99"/>
      <c r="AO121" s="113"/>
      <c r="AP121" s="113"/>
      <c r="AQ121" s="114"/>
      <c r="AR121" s="99"/>
      <c r="AS121" s="99"/>
      <c r="AT121" s="99"/>
      <c r="AU121" s="113"/>
      <c r="AV121" s="113"/>
      <c r="AW121" s="114"/>
      <c r="AX121" s="101"/>
      <c r="AY121" s="116"/>
      <c r="AZ121" s="117"/>
      <c r="BA121" s="116"/>
      <c r="BB121" s="117"/>
      <c r="BC121" s="118"/>
    </row>
    <row r="122" spans="1:55">
      <c r="A122" s="122" t="s">
        <v>589</v>
      </c>
      <c r="B122" s="106">
        <v>64.86486486486487</v>
      </c>
      <c r="C122" s="107">
        <v>81.707317073170728</v>
      </c>
      <c r="D122" s="107">
        <v>88.69047619047619</v>
      </c>
      <c r="E122" s="92">
        <v>73.943661971830991</v>
      </c>
      <c r="F122" s="107"/>
      <c r="G122" s="108"/>
      <c r="H122" s="94">
        <v>64.86486486486487</v>
      </c>
      <c r="I122" s="107">
        <v>81.707317073170728</v>
      </c>
      <c r="J122" s="107">
        <v>88.69047619047619</v>
      </c>
      <c r="K122" s="92">
        <v>73.943661971830991</v>
      </c>
      <c r="L122" s="107"/>
      <c r="M122" s="108"/>
      <c r="N122" s="109"/>
      <c r="O122" s="107"/>
      <c r="P122" s="107"/>
      <c r="Q122" s="110"/>
      <c r="R122" s="107"/>
      <c r="S122" s="108"/>
      <c r="T122" s="109"/>
      <c r="U122" s="107"/>
      <c r="V122" s="107"/>
      <c r="W122" s="110"/>
      <c r="X122" s="110"/>
      <c r="Y122" s="111"/>
      <c r="Z122" s="112">
        <v>36.607142857142854</v>
      </c>
      <c r="AA122" s="98">
        <v>82.142857142857139</v>
      </c>
      <c r="AB122" s="99"/>
      <c r="AC122" s="113"/>
      <c r="AD122" s="113"/>
      <c r="AE122" s="114"/>
      <c r="AF122" s="112">
        <v>36.607142857142854</v>
      </c>
      <c r="AG122" s="115">
        <v>82.142857142857139</v>
      </c>
      <c r="AH122" s="99"/>
      <c r="AI122" s="113"/>
      <c r="AJ122" s="113"/>
      <c r="AK122" s="114"/>
      <c r="AL122" s="99"/>
      <c r="AM122" s="99"/>
      <c r="AN122" s="99"/>
      <c r="AO122" s="113"/>
      <c r="AP122" s="113"/>
      <c r="AQ122" s="114"/>
      <c r="AR122" s="99"/>
      <c r="AS122" s="99"/>
      <c r="AT122" s="99"/>
      <c r="AU122" s="113"/>
      <c r="AV122" s="113"/>
      <c r="AW122" s="114"/>
      <c r="AX122" s="101"/>
      <c r="AY122" s="116"/>
      <c r="AZ122" s="117"/>
      <c r="BA122" s="116"/>
      <c r="BB122" s="117"/>
      <c r="BC122" s="118"/>
    </row>
    <row r="123" spans="1:55">
      <c r="A123" s="122" t="s">
        <v>590</v>
      </c>
      <c r="B123" s="106">
        <v>64.406779661016955</v>
      </c>
      <c r="C123" s="107"/>
      <c r="D123" s="107"/>
      <c r="E123" s="92"/>
      <c r="F123" s="107"/>
      <c r="G123" s="108"/>
      <c r="H123" s="94"/>
      <c r="I123" s="107"/>
      <c r="J123" s="107"/>
      <c r="K123" s="92"/>
      <c r="L123" s="107"/>
      <c r="M123" s="108"/>
      <c r="N123" s="109">
        <v>64.406779661016955</v>
      </c>
      <c r="O123" s="107"/>
      <c r="P123" s="107"/>
      <c r="Q123" s="110"/>
      <c r="R123" s="107"/>
      <c r="S123" s="108"/>
      <c r="T123" s="109"/>
      <c r="U123" s="107"/>
      <c r="V123" s="107"/>
      <c r="W123" s="110"/>
      <c r="X123" s="110"/>
      <c r="Y123" s="111"/>
      <c r="Z123" s="112"/>
      <c r="AA123" s="98"/>
      <c r="AB123" s="99"/>
      <c r="AC123" s="113"/>
      <c r="AD123" s="113"/>
      <c r="AE123" s="114"/>
      <c r="AF123" s="112"/>
      <c r="AG123" s="115"/>
      <c r="AH123" s="99"/>
      <c r="AI123" s="113"/>
      <c r="AJ123" s="113"/>
      <c r="AK123" s="114"/>
      <c r="AL123" s="99"/>
      <c r="AM123" s="99"/>
      <c r="AN123" s="99"/>
      <c r="AO123" s="113"/>
      <c r="AP123" s="113"/>
      <c r="AQ123" s="114"/>
      <c r="AR123" s="99"/>
      <c r="AS123" s="99"/>
      <c r="AT123" s="99"/>
      <c r="AU123" s="113"/>
      <c r="AV123" s="113"/>
      <c r="AW123" s="114"/>
      <c r="AX123" s="101"/>
      <c r="AY123" s="116"/>
      <c r="AZ123" s="117"/>
      <c r="BA123" s="116"/>
      <c r="BB123" s="117"/>
      <c r="BC123" s="118"/>
    </row>
    <row r="124" spans="1:55">
      <c r="A124" s="122" t="s">
        <v>591</v>
      </c>
      <c r="B124" s="106">
        <v>64.224137931034477</v>
      </c>
      <c r="C124" s="107">
        <v>87.820512820512818</v>
      </c>
      <c r="D124" s="107">
        <v>44.285714285714285</v>
      </c>
      <c r="E124" s="92"/>
      <c r="F124" s="107"/>
      <c r="G124" s="108"/>
      <c r="H124" s="94">
        <v>64.224137931034477</v>
      </c>
      <c r="I124" s="107">
        <v>87.820512820512818</v>
      </c>
      <c r="J124" s="107">
        <v>44.285714285714285</v>
      </c>
      <c r="K124" s="92"/>
      <c r="L124" s="107"/>
      <c r="M124" s="108"/>
      <c r="N124" s="109"/>
      <c r="O124" s="107"/>
      <c r="P124" s="107"/>
      <c r="Q124" s="110"/>
      <c r="R124" s="107"/>
      <c r="S124" s="108"/>
      <c r="T124" s="109"/>
      <c r="U124" s="107"/>
      <c r="V124" s="107"/>
      <c r="W124" s="110"/>
      <c r="X124" s="110"/>
      <c r="Y124" s="111"/>
      <c r="Z124" s="112">
        <v>0</v>
      </c>
      <c r="AA124" s="98"/>
      <c r="AB124" s="99"/>
      <c r="AC124" s="113"/>
      <c r="AD124" s="113"/>
      <c r="AE124" s="114"/>
      <c r="AF124" s="112">
        <v>0</v>
      </c>
      <c r="AG124" s="115"/>
      <c r="AH124" s="99"/>
      <c r="AI124" s="113"/>
      <c r="AJ124" s="113"/>
      <c r="AK124" s="114"/>
      <c r="AL124" s="99"/>
      <c r="AM124" s="99"/>
      <c r="AN124" s="99"/>
      <c r="AO124" s="113"/>
      <c r="AP124" s="113"/>
      <c r="AQ124" s="114"/>
      <c r="AR124" s="99"/>
      <c r="AS124" s="99"/>
      <c r="AT124" s="99"/>
      <c r="AU124" s="113"/>
      <c r="AV124" s="113"/>
      <c r="AW124" s="114"/>
      <c r="AX124" s="101"/>
      <c r="AY124" s="116"/>
      <c r="AZ124" s="117"/>
      <c r="BA124" s="116"/>
      <c r="BB124" s="117"/>
      <c r="BC124" s="118"/>
    </row>
    <row r="125" spans="1:55">
      <c r="A125" s="122" t="s">
        <v>592</v>
      </c>
      <c r="B125" s="106">
        <v>63.990825688073393</v>
      </c>
      <c r="C125" s="107">
        <v>76.351351351351354</v>
      </c>
      <c r="D125" s="107"/>
      <c r="E125" s="92"/>
      <c r="F125" s="107"/>
      <c r="G125" s="108"/>
      <c r="H125" s="94"/>
      <c r="I125" s="107"/>
      <c r="J125" s="107"/>
      <c r="K125" s="92"/>
      <c r="L125" s="107"/>
      <c r="M125" s="108"/>
      <c r="N125" s="109">
        <v>63.990825688073393</v>
      </c>
      <c r="O125" s="107">
        <v>76.351351351351354</v>
      </c>
      <c r="P125" s="107"/>
      <c r="Q125" s="110"/>
      <c r="R125" s="107"/>
      <c r="S125" s="108"/>
      <c r="T125" s="109"/>
      <c r="U125" s="107"/>
      <c r="V125" s="107"/>
      <c r="W125" s="110"/>
      <c r="X125" s="110"/>
      <c r="Y125" s="111"/>
      <c r="Z125" s="112"/>
      <c r="AA125" s="98"/>
      <c r="AB125" s="99"/>
      <c r="AC125" s="113"/>
      <c r="AD125" s="113"/>
      <c r="AE125" s="114"/>
      <c r="AF125" s="112"/>
      <c r="AG125" s="115"/>
      <c r="AH125" s="99"/>
      <c r="AI125" s="113"/>
      <c r="AJ125" s="113"/>
      <c r="AK125" s="114"/>
      <c r="AL125" s="99"/>
      <c r="AM125" s="99"/>
      <c r="AN125" s="99"/>
      <c r="AO125" s="113"/>
      <c r="AP125" s="113"/>
      <c r="AQ125" s="114"/>
      <c r="AR125" s="99"/>
      <c r="AS125" s="99"/>
      <c r="AT125" s="99"/>
      <c r="AU125" s="113"/>
      <c r="AV125" s="113"/>
      <c r="AW125" s="114"/>
      <c r="AX125" s="101"/>
      <c r="AY125" s="116"/>
      <c r="AZ125" s="117"/>
      <c r="BA125" s="116"/>
      <c r="BB125" s="117"/>
      <c r="BC125" s="118"/>
    </row>
    <row r="126" spans="1:55">
      <c r="A126" s="122" t="s">
        <v>593</v>
      </c>
      <c r="B126" s="106">
        <v>62.5</v>
      </c>
      <c r="C126" s="107">
        <v>77.631578947368425</v>
      </c>
      <c r="D126" s="107"/>
      <c r="E126" s="92"/>
      <c r="F126" s="107"/>
      <c r="G126" s="108"/>
      <c r="H126" s="94"/>
      <c r="I126" s="107"/>
      <c r="J126" s="107"/>
      <c r="K126" s="92"/>
      <c r="L126" s="107"/>
      <c r="M126" s="108"/>
      <c r="N126" s="109"/>
      <c r="O126" s="107"/>
      <c r="P126" s="107"/>
      <c r="Q126" s="110"/>
      <c r="R126" s="107"/>
      <c r="S126" s="108"/>
      <c r="T126" s="109">
        <v>62.5</v>
      </c>
      <c r="U126" s="107">
        <v>77.631578947368425</v>
      </c>
      <c r="V126" s="107"/>
      <c r="W126" s="110"/>
      <c r="X126" s="110"/>
      <c r="Y126" s="111"/>
      <c r="Z126" s="112"/>
      <c r="AA126" s="98"/>
      <c r="AB126" s="99"/>
      <c r="AC126" s="113"/>
      <c r="AD126" s="113"/>
      <c r="AE126" s="114"/>
      <c r="AF126" s="112"/>
      <c r="AG126" s="115"/>
      <c r="AH126" s="99"/>
      <c r="AI126" s="113"/>
      <c r="AJ126" s="113"/>
      <c r="AK126" s="114"/>
      <c r="AL126" s="99"/>
      <c r="AM126" s="99"/>
      <c r="AN126" s="99"/>
      <c r="AO126" s="113"/>
      <c r="AP126" s="113"/>
      <c r="AQ126" s="114"/>
      <c r="AR126" s="99"/>
      <c r="AS126" s="99"/>
      <c r="AT126" s="99"/>
      <c r="AU126" s="113"/>
      <c r="AV126" s="113"/>
      <c r="AW126" s="114"/>
      <c r="AX126" s="101"/>
      <c r="AY126" s="116"/>
      <c r="AZ126" s="117"/>
      <c r="BA126" s="116"/>
      <c r="BB126" s="117"/>
      <c r="BC126" s="118"/>
    </row>
    <row r="127" spans="1:55">
      <c r="A127" s="122" t="s">
        <v>594</v>
      </c>
      <c r="B127" s="106">
        <v>60.714285714285715</v>
      </c>
      <c r="C127" s="107">
        <v>47.5</v>
      </c>
      <c r="D127" s="107"/>
      <c r="E127" s="92"/>
      <c r="F127" s="107"/>
      <c r="G127" s="108"/>
      <c r="H127" s="94"/>
      <c r="I127" s="107"/>
      <c r="J127" s="107"/>
      <c r="K127" s="92"/>
      <c r="L127" s="107"/>
      <c r="M127" s="108"/>
      <c r="N127" s="109"/>
      <c r="O127" s="107"/>
      <c r="P127" s="107"/>
      <c r="Q127" s="110"/>
      <c r="R127" s="107"/>
      <c r="S127" s="108"/>
      <c r="T127" s="109">
        <v>60.714285714285715</v>
      </c>
      <c r="U127" s="107">
        <v>47.5</v>
      </c>
      <c r="V127" s="107"/>
      <c r="W127" s="110"/>
      <c r="X127" s="110"/>
      <c r="Y127" s="111"/>
      <c r="Z127" s="112"/>
      <c r="AA127" s="98"/>
      <c r="AB127" s="99"/>
      <c r="AC127" s="113"/>
      <c r="AD127" s="113"/>
      <c r="AE127" s="114"/>
      <c r="AF127" s="112"/>
      <c r="AG127" s="115"/>
      <c r="AH127" s="99"/>
      <c r="AI127" s="113"/>
      <c r="AJ127" s="113"/>
      <c r="AK127" s="114"/>
      <c r="AL127" s="99"/>
      <c r="AM127" s="99"/>
      <c r="AN127" s="99"/>
      <c r="AO127" s="113"/>
      <c r="AP127" s="113"/>
      <c r="AQ127" s="114"/>
      <c r="AR127" s="99"/>
      <c r="AS127" s="99"/>
      <c r="AT127" s="99"/>
      <c r="AU127" s="113"/>
      <c r="AV127" s="113"/>
      <c r="AW127" s="114"/>
      <c r="AX127" s="101"/>
      <c r="AY127" s="116"/>
      <c r="AZ127" s="117"/>
      <c r="BA127" s="116"/>
      <c r="BB127" s="117"/>
      <c r="BC127" s="118"/>
    </row>
    <row r="128" spans="1:55">
      <c r="A128" s="122" t="s">
        <v>595</v>
      </c>
      <c r="B128" s="106">
        <v>59.756097560975611</v>
      </c>
      <c r="C128" s="107">
        <v>45.39473684210526</v>
      </c>
      <c r="D128" s="107">
        <v>84.615384615384613</v>
      </c>
      <c r="E128" s="92">
        <v>55</v>
      </c>
      <c r="F128" s="107"/>
      <c r="G128" s="108"/>
      <c r="H128" s="94">
        <v>59.756097560975611</v>
      </c>
      <c r="I128" s="107">
        <v>45.39473684210526</v>
      </c>
      <c r="J128" s="107">
        <v>84.615384615384613</v>
      </c>
      <c r="K128" s="92">
        <v>55</v>
      </c>
      <c r="L128" s="107"/>
      <c r="M128" s="108"/>
      <c r="N128" s="109"/>
      <c r="O128" s="107"/>
      <c r="P128" s="107"/>
      <c r="Q128" s="110"/>
      <c r="R128" s="107"/>
      <c r="S128" s="108"/>
      <c r="T128" s="109"/>
      <c r="U128" s="107"/>
      <c r="V128" s="107"/>
      <c r="W128" s="110"/>
      <c r="X128" s="110"/>
      <c r="Y128" s="111"/>
      <c r="Z128" s="112">
        <v>9.615384615384615</v>
      </c>
      <c r="AA128" s="98">
        <v>0</v>
      </c>
      <c r="AB128" s="99"/>
      <c r="AC128" s="113"/>
      <c r="AD128" s="113"/>
      <c r="AE128" s="114"/>
      <c r="AF128" s="112">
        <v>9.615384615384615</v>
      </c>
      <c r="AG128" s="115">
        <v>0</v>
      </c>
      <c r="AH128" s="99"/>
      <c r="AI128" s="113"/>
      <c r="AJ128" s="113"/>
      <c r="AK128" s="114"/>
      <c r="AL128" s="99"/>
      <c r="AM128" s="99"/>
      <c r="AN128" s="99"/>
      <c r="AO128" s="113"/>
      <c r="AP128" s="113"/>
      <c r="AQ128" s="114"/>
      <c r="AR128" s="99"/>
      <c r="AS128" s="99"/>
      <c r="AT128" s="99"/>
      <c r="AU128" s="113"/>
      <c r="AV128" s="113"/>
      <c r="AW128" s="114"/>
      <c r="AX128" s="101"/>
      <c r="AY128" s="116"/>
      <c r="AZ128" s="117"/>
      <c r="BA128" s="116"/>
      <c r="BB128" s="117"/>
      <c r="BC128" s="118"/>
    </row>
    <row r="129" spans="1:55">
      <c r="A129" s="122" t="s">
        <v>596</v>
      </c>
      <c r="B129" s="106">
        <v>59.210526315789473</v>
      </c>
      <c r="C129" s="107">
        <v>69.871794871794876</v>
      </c>
      <c r="D129" s="107"/>
      <c r="E129" s="92"/>
      <c r="F129" s="107"/>
      <c r="G129" s="108"/>
      <c r="H129" s="94"/>
      <c r="I129" s="107"/>
      <c r="J129" s="107"/>
      <c r="K129" s="92"/>
      <c r="L129" s="107"/>
      <c r="M129" s="108"/>
      <c r="N129" s="109"/>
      <c r="O129" s="107"/>
      <c r="P129" s="107"/>
      <c r="Q129" s="110"/>
      <c r="R129" s="107"/>
      <c r="S129" s="108"/>
      <c r="T129" s="109">
        <v>59.210526315789473</v>
      </c>
      <c r="U129" s="107">
        <v>69.871794871794876</v>
      </c>
      <c r="V129" s="107"/>
      <c r="W129" s="110"/>
      <c r="X129" s="110"/>
      <c r="Y129" s="111"/>
      <c r="Z129" s="112"/>
      <c r="AA129" s="98"/>
      <c r="AB129" s="99"/>
      <c r="AC129" s="113"/>
      <c r="AD129" s="113"/>
      <c r="AE129" s="114"/>
      <c r="AF129" s="112"/>
      <c r="AG129" s="115"/>
      <c r="AH129" s="99"/>
      <c r="AI129" s="113"/>
      <c r="AJ129" s="113"/>
      <c r="AK129" s="114"/>
      <c r="AL129" s="99"/>
      <c r="AM129" s="99"/>
      <c r="AN129" s="99"/>
      <c r="AO129" s="113"/>
      <c r="AP129" s="113"/>
      <c r="AQ129" s="114"/>
      <c r="AR129" s="99"/>
      <c r="AS129" s="99"/>
      <c r="AT129" s="99"/>
      <c r="AU129" s="113"/>
      <c r="AV129" s="113"/>
      <c r="AW129" s="114"/>
      <c r="AX129" s="101"/>
      <c r="AY129" s="116"/>
      <c r="AZ129" s="117"/>
      <c r="BA129" s="116"/>
      <c r="BB129" s="117"/>
      <c r="BC129" s="118"/>
    </row>
    <row r="130" spans="1:55">
      <c r="A130" s="122" t="s">
        <v>597</v>
      </c>
      <c r="B130" s="106">
        <v>58.974358974358971</v>
      </c>
      <c r="C130" s="107">
        <v>76.92307692307692</v>
      </c>
      <c r="D130" s="107"/>
      <c r="E130" s="92"/>
      <c r="F130" s="107"/>
      <c r="G130" s="108"/>
      <c r="H130" s="94"/>
      <c r="I130" s="107"/>
      <c r="J130" s="107"/>
      <c r="K130" s="92"/>
      <c r="L130" s="107"/>
      <c r="M130" s="108"/>
      <c r="N130" s="109"/>
      <c r="O130" s="107"/>
      <c r="P130" s="107"/>
      <c r="Q130" s="110"/>
      <c r="R130" s="107"/>
      <c r="S130" s="108"/>
      <c r="T130" s="109">
        <v>58.974358974358971</v>
      </c>
      <c r="U130" s="107">
        <v>76.92307692307692</v>
      </c>
      <c r="V130" s="107"/>
      <c r="W130" s="110"/>
      <c r="X130" s="110"/>
      <c r="Y130" s="111"/>
      <c r="Z130" s="112"/>
      <c r="AA130" s="98"/>
      <c r="AB130" s="99"/>
      <c r="AC130" s="113"/>
      <c r="AD130" s="113"/>
      <c r="AE130" s="114"/>
      <c r="AF130" s="112"/>
      <c r="AG130" s="115"/>
      <c r="AH130" s="99"/>
      <c r="AI130" s="113"/>
      <c r="AJ130" s="113"/>
      <c r="AK130" s="114"/>
      <c r="AL130" s="99"/>
      <c r="AM130" s="99"/>
      <c r="AN130" s="99"/>
      <c r="AO130" s="113"/>
      <c r="AP130" s="113"/>
      <c r="AQ130" s="114"/>
      <c r="AR130" s="99"/>
      <c r="AS130" s="99"/>
      <c r="AT130" s="99"/>
      <c r="AU130" s="113"/>
      <c r="AV130" s="113"/>
      <c r="AW130" s="114"/>
      <c r="AX130" s="101"/>
      <c r="AY130" s="116"/>
      <c r="AZ130" s="117"/>
      <c r="BA130" s="116"/>
      <c r="BB130" s="117"/>
      <c r="BC130" s="118"/>
    </row>
    <row r="131" spans="1:55">
      <c r="A131" s="122" t="s">
        <v>598</v>
      </c>
      <c r="B131" s="106">
        <v>57.89473684210526</v>
      </c>
      <c r="C131" s="107">
        <v>75.675675675675677</v>
      </c>
      <c r="D131" s="107"/>
      <c r="E131" s="92"/>
      <c r="F131" s="107"/>
      <c r="G131" s="108"/>
      <c r="H131" s="94"/>
      <c r="I131" s="107"/>
      <c r="J131" s="107"/>
      <c r="K131" s="92"/>
      <c r="L131" s="107"/>
      <c r="M131" s="108"/>
      <c r="N131" s="109"/>
      <c r="O131" s="107"/>
      <c r="P131" s="107"/>
      <c r="Q131" s="110"/>
      <c r="R131" s="107"/>
      <c r="S131" s="108"/>
      <c r="T131" s="109">
        <v>57.89473684210526</v>
      </c>
      <c r="U131" s="107">
        <v>75.675675675675677</v>
      </c>
      <c r="V131" s="107"/>
      <c r="W131" s="110"/>
      <c r="X131" s="110"/>
      <c r="Y131" s="111"/>
      <c r="Z131" s="112"/>
      <c r="AA131" s="98"/>
      <c r="AB131" s="99"/>
      <c r="AC131" s="113"/>
      <c r="AD131" s="113"/>
      <c r="AE131" s="114"/>
      <c r="AF131" s="112"/>
      <c r="AG131" s="115"/>
      <c r="AH131" s="99"/>
      <c r="AI131" s="113"/>
      <c r="AJ131" s="113"/>
      <c r="AK131" s="114"/>
      <c r="AL131" s="99"/>
      <c r="AM131" s="99"/>
      <c r="AN131" s="99"/>
      <c r="AO131" s="113"/>
      <c r="AP131" s="113"/>
      <c r="AQ131" s="114"/>
      <c r="AR131" s="99"/>
      <c r="AS131" s="99"/>
      <c r="AT131" s="99"/>
      <c r="AU131" s="113"/>
      <c r="AV131" s="113"/>
      <c r="AW131" s="114"/>
      <c r="AX131" s="101"/>
      <c r="AY131" s="116"/>
      <c r="AZ131" s="117"/>
      <c r="BA131" s="116"/>
      <c r="BB131" s="117"/>
      <c r="BC131" s="118"/>
    </row>
    <row r="132" spans="1:55">
      <c r="A132" s="122" t="s">
        <v>599</v>
      </c>
      <c r="B132" s="106">
        <v>56.404958677685947</v>
      </c>
      <c r="C132" s="107">
        <v>85</v>
      </c>
      <c r="D132" s="107">
        <v>71.25</v>
      </c>
      <c r="E132" s="92">
        <v>84.027777777777771</v>
      </c>
      <c r="F132" s="107"/>
      <c r="G132" s="108"/>
      <c r="H132" s="94">
        <v>56.404958677685947</v>
      </c>
      <c r="I132" s="107">
        <v>85</v>
      </c>
      <c r="J132" s="107">
        <v>71.25</v>
      </c>
      <c r="K132" s="92">
        <v>84.027777777777771</v>
      </c>
      <c r="L132" s="107"/>
      <c r="M132" s="108"/>
      <c r="N132" s="109"/>
      <c r="O132" s="107"/>
      <c r="P132" s="107"/>
      <c r="Q132" s="110"/>
      <c r="R132" s="107"/>
      <c r="S132" s="108"/>
      <c r="T132" s="109"/>
      <c r="U132" s="107"/>
      <c r="V132" s="107"/>
      <c r="W132" s="110"/>
      <c r="X132" s="110"/>
      <c r="Y132" s="111"/>
      <c r="Z132" s="112">
        <v>0</v>
      </c>
      <c r="AA132" s="98">
        <v>72.41379310344827</v>
      </c>
      <c r="AB132" s="99"/>
      <c r="AC132" s="113"/>
      <c r="AD132" s="113"/>
      <c r="AE132" s="114"/>
      <c r="AF132" s="112">
        <v>0</v>
      </c>
      <c r="AG132" s="115">
        <v>72.41379310344827</v>
      </c>
      <c r="AH132" s="99"/>
      <c r="AI132" s="113"/>
      <c r="AJ132" s="113"/>
      <c r="AK132" s="114"/>
      <c r="AL132" s="99"/>
      <c r="AM132" s="99"/>
      <c r="AN132" s="99"/>
      <c r="AO132" s="113"/>
      <c r="AP132" s="113"/>
      <c r="AQ132" s="114"/>
      <c r="AR132" s="99"/>
      <c r="AS132" s="99"/>
      <c r="AT132" s="99"/>
      <c r="AU132" s="113"/>
      <c r="AV132" s="113"/>
      <c r="AW132" s="114"/>
      <c r="AX132" s="101"/>
      <c r="AY132" s="116"/>
      <c r="AZ132" s="117"/>
      <c r="BA132" s="116"/>
      <c r="BB132" s="117"/>
      <c r="BC132" s="118"/>
    </row>
    <row r="133" spans="1:55">
      <c r="A133" s="122" t="s">
        <v>600</v>
      </c>
      <c r="B133" s="106">
        <v>55.660377358490564</v>
      </c>
      <c r="C133" s="107">
        <v>50.694444444444443</v>
      </c>
      <c r="D133" s="107"/>
      <c r="E133" s="92"/>
      <c r="F133" s="107"/>
      <c r="G133" s="108"/>
      <c r="H133" s="94"/>
      <c r="I133" s="107"/>
      <c r="J133" s="107"/>
      <c r="K133" s="92"/>
      <c r="L133" s="107"/>
      <c r="M133" s="108"/>
      <c r="N133" s="109">
        <v>55.660377358490564</v>
      </c>
      <c r="O133" s="107">
        <v>50.694444444444443</v>
      </c>
      <c r="P133" s="107"/>
      <c r="Q133" s="110"/>
      <c r="R133" s="107"/>
      <c r="S133" s="108"/>
      <c r="T133" s="109"/>
      <c r="U133" s="107"/>
      <c r="V133" s="107"/>
      <c r="W133" s="110"/>
      <c r="X133" s="110"/>
      <c r="Y133" s="111"/>
      <c r="Z133" s="112"/>
      <c r="AA133" s="98"/>
      <c r="AB133" s="99"/>
      <c r="AC133" s="113"/>
      <c r="AD133" s="113"/>
      <c r="AE133" s="114"/>
      <c r="AF133" s="112"/>
      <c r="AG133" s="115"/>
      <c r="AH133" s="99"/>
      <c r="AI133" s="113"/>
      <c r="AJ133" s="113"/>
      <c r="AK133" s="114"/>
      <c r="AL133" s="99"/>
      <c r="AM133" s="99"/>
      <c r="AN133" s="99"/>
      <c r="AO133" s="113"/>
      <c r="AP133" s="113"/>
      <c r="AQ133" s="114"/>
      <c r="AR133" s="99"/>
      <c r="AS133" s="99"/>
      <c r="AT133" s="99"/>
      <c r="AU133" s="113"/>
      <c r="AV133" s="113"/>
      <c r="AW133" s="114"/>
      <c r="AX133" s="101"/>
      <c r="AY133" s="116"/>
      <c r="AZ133" s="117"/>
      <c r="BA133" s="116"/>
      <c r="BB133" s="117"/>
      <c r="BC133" s="118"/>
    </row>
    <row r="134" spans="1:55">
      <c r="A134" s="122" t="s">
        <v>601</v>
      </c>
      <c r="B134" s="106">
        <v>55.405405405405403</v>
      </c>
      <c r="C134" s="107">
        <v>80.952380952380949</v>
      </c>
      <c r="D134" s="107"/>
      <c r="E134" s="92"/>
      <c r="F134" s="107"/>
      <c r="G134" s="108"/>
      <c r="H134" s="94"/>
      <c r="I134" s="107"/>
      <c r="J134" s="107"/>
      <c r="K134" s="92"/>
      <c r="L134" s="107"/>
      <c r="M134" s="108"/>
      <c r="N134" s="109">
        <v>55.405405405405403</v>
      </c>
      <c r="O134" s="107">
        <v>80.952380952380949</v>
      </c>
      <c r="P134" s="107"/>
      <c r="Q134" s="110"/>
      <c r="R134" s="107"/>
      <c r="S134" s="108"/>
      <c r="T134" s="109"/>
      <c r="U134" s="107"/>
      <c r="V134" s="107"/>
      <c r="W134" s="110"/>
      <c r="X134" s="110"/>
      <c r="Y134" s="111"/>
      <c r="Z134" s="112"/>
      <c r="AA134" s="98"/>
      <c r="AB134" s="99"/>
      <c r="AC134" s="113"/>
      <c r="AD134" s="113"/>
      <c r="AE134" s="114"/>
      <c r="AF134" s="112"/>
      <c r="AG134" s="115"/>
      <c r="AH134" s="99"/>
      <c r="AI134" s="113"/>
      <c r="AJ134" s="113"/>
      <c r="AK134" s="114"/>
      <c r="AL134" s="99"/>
      <c r="AM134" s="99"/>
      <c r="AN134" s="99"/>
      <c r="AO134" s="113"/>
      <c r="AP134" s="113"/>
      <c r="AQ134" s="114"/>
      <c r="AR134" s="99"/>
      <c r="AS134" s="99"/>
      <c r="AT134" s="99"/>
      <c r="AU134" s="113"/>
      <c r="AV134" s="113"/>
      <c r="AW134" s="114"/>
      <c r="AX134" s="101"/>
      <c r="AY134" s="116"/>
      <c r="AZ134" s="117"/>
      <c r="BA134" s="116"/>
      <c r="BB134" s="117"/>
      <c r="BC134" s="118"/>
    </row>
    <row r="135" spans="1:55">
      <c r="A135" s="122" t="s">
        <v>602</v>
      </c>
      <c r="B135" s="106">
        <v>55.357142857142854</v>
      </c>
      <c r="C135" s="107">
        <v>82.857142857142861</v>
      </c>
      <c r="D135" s="107"/>
      <c r="E135" s="92"/>
      <c r="F135" s="107"/>
      <c r="G135" s="108"/>
      <c r="H135" s="94"/>
      <c r="I135" s="107"/>
      <c r="J135" s="107"/>
      <c r="K135" s="92"/>
      <c r="L135" s="107"/>
      <c r="M135" s="108"/>
      <c r="N135" s="109">
        <v>55.357142857142854</v>
      </c>
      <c r="O135" s="107">
        <v>82.857142857142861</v>
      </c>
      <c r="P135" s="107"/>
      <c r="Q135" s="110"/>
      <c r="R135" s="107"/>
      <c r="S135" s="108"/>
      <c r="T135" s="109"/>
      <c r="U135" s="107"/>
      <c r="V135" s="107"/>
      <c r="W135" s="110"/>
      <c r="X135" s="110"/>
      <c r="Y135" s="111"/>
      <c r="Z135" s="112"/>
      <c r="AA135" s="98"/>
      <c r="AB135" s="99"/>
      <c r="AC135" s="113"/>
      <c r="AD135" s="113"/>
      <c r="AE135" s="114"/>
      <c r="AF135" s="112"/>
      <c r="AG135" s="115"/>
      <c r="AH135" s="99"/>
      <c r="AI135" s="113"/>
      <c r="AJ135" s="113"/>
      <c r="AK135" s="114"/>
      <c r="AL135" s="99"/>
      <c r="AM135" s="99"/>
      <c r="AN135" s="99"/>
      <c r="AO135" s="113"/>
      <c r="AP135" s="113"/>
      <c r="AQ135" s="114"/>
      <c r="AR135" s="99"/>
      <c r="AS135" s="99"/>
      <c r="AT135" s="99"/>
      <c r="AU135" s="113"/>
      <c r="AV135" s="113"/>
      <c r="AW135" s="114"/>
      <c r="AX135" s="101"/>
      <c r="AY135" s="116"/>
      <c r="AZ135" s="117"/>
      <c r="BA135" s="116"/>
      <c r="BB135" s="117"/>
      <c r="BC135" s="118"/>
    </row>
    <row r="136" spans="1:55">
      <c r="A136" s="122" t="s">
        <v>603</v>
      </c>
      <c r="B136" s="106">
        <v>55.088495575221238</v>
      </c>
      <c r="C136" s="107">
        <v>66.891891891891888</v>
      </c>
      <c r="D136" s="107"/>
      <c r="E136" s="92"/>
      <c r="F136" s="107"/>
      <c r="G136" s="108"/>
      <c r="H136" s="94">
        <v>55.088495575221238</v>
      </c>
      <c r="I136" s="107">
        <v>66.891891891891888</v>
      </c>
      <c r="J136" s="107"/>
      <c r="K136" s="92"/>
      <c r="L136" s="107"/>
      <c r="M136" s="108"/>
      <c r="N136" s="109"/>
      <c r="O136" s="107"/>
      <c r="P136" s="107"/>
      <c r="Q136" s="110"/>
      <c r="R136" s="107"/>
      <c r="S136" s="108"/>
      <c r="T136" s="109"/>
      <c r="U136" s="107"/>
      <c r="V136" s="107"/>
      <c r="W136" s="110"/>
      <c r="X136" s="110"/>
      <c r="Y136" s="111"/>
      <c r="Z136" s="112">
        <v>0.92592592592592504</v>
      </c>
      <c r="AA136" s="98"/>
      <c r="AB136" s="99"/>
      <c r="AC136" s="113"/>
      <c r="AD136" s="113"/>
      <c r="AE136" s="114"/>
      <c r="AF136" s="112">
        <v>0.92592592592592504</v>
      </c>
      <c r="AG136" s="115"/>
      <c r="AH136" s="99"/>
      <c r="AI136" s="113"/>
      <c r="AJ136" s="113"/>
      <c r="AK136" s="114"/>
      <c r="AL136" s="99"/>
      <c r="AM136" s="99"/>
      <c r="AN136" s="99"/>
      <c r="AO136" s="113"/>
      <c r="AP136" s="113"/>
      <c r="AQ136" s="114"/>
      <c r="AR136" s="99"/>
      <c r="AS136" s="99"/>
      <c r="AT136" s="99"/>
      <c r="AU136" s="113"/>
      <c r="AV136" s="113"/>
      <c r="AW136" s="114"/>
      <c r="AX136" s="101"/>
      <c r="AY136" s="116"/>
      <c r="AZ136" s="117"/>
      <c r="BA136" s="116"/>
      <c r="BB136" s="117"/>
      <c r="BC136" s="118"/>
    </row>
    <row r="137" spans="1:55">
      <c r="A137" s="122" t="s">
        <v>604</v>
      </c>
      <c r="B137" s="106">
        <v>55.084745762711862</v>
      </c>
      <c r="C137" s="107">
        <v>75.65789473684211</v>
      </c>
      <c r="D137" s="107">
        <v>45.238095238095241</v>
      </c>
      <c r="E137" s="92"/>
      <c r="F137" s="107"/>
      <c r="G137" s="108"/>
      <c r="H137" s="94">
        <v>55.084745762711862</v>
      </c>
      <c r="I137" s="107">
        <v>75.65789473684211</v>
      </c>
      <c r="J137" s="107">
        <v>45.238095238095241</v>
      </c>
      <c r="K137" s="92"/>
      <c r="L137" s="107"/>
      <c r="M137" s="108"/>
      <c r="N137" s="109"/>
      <c r="O137" s="107"/>
      <c r="P137" s="107"/>
      <c r="Q137" s="110"/>
      <c r="R137" s="107"/>
      <c r="S137" s="108"/>
      <c r="T137" s="109"/>
      <c r="U137" s="107"/>
      <c r="V137" s="107"/>
      <c r="W137" s="110"/>
      <c r="X137" s="110"/>
      <c r="Y137" s="111"/>
      <c r="Z137" s="112">
        <v>0</v>
      </c>
      <c r="AA137" s="98"/>
      <c r="AB137" s="99"/>
      <c r="AC137" s="113"/>
      <c r="AD137" s="113"/>
      <c r="AE137" s="114"/>
      <c r="AF137" s="112">
        <v>0</v>
      </c>
      <c r="AG137" s="115"/>
      <c r="AH137" s="99"/>
      <c r="AI137" s="113"/>
      <c r="AJ137" s="113"/>
      <c r="AK137" s="114"/>
      <c r="AL137" s="99"/>
      <c r="AM137" s="99"/>
      <c r="AN137" s="99"/>
      <c r="AO137" s="113"/>
      <c r="AP137" s="113"/>
      <c r="AQ137" s="114"/>
      <c r="AR137" s="99"/>
      <c r="AS137" s="99"/>
      <c r="AT137" s="99"/>
      <c r="AU137" s="113"/>
      <c r="AV137" s="113"/>
      <c r="AW137" s="114"/>
      <c r="AX137" s="101"/>
      <c r="AY137" s="116"/>
      <c r="AZ137" s="117"/>
      <c r="BA137" s="116"/>
      <c r="BB137" s="117"/>
      <c r="BC137" s="118"/>
    </row>
    <row r="138" spans="1:55">
      <c r="A138" s="122" t="s">
        <v>605</v>
      </c>
      <c r="B138" s="106">
        <v>54.782608695652172</v>
      </c>
      <c r="C138" s="107">
        <v>73.07692307692308</v>
      </c>
      <c r="D138" s="107"/>
      <c r="E138" s="92"/>
      <c r="F138" s="107"/>
      <c r="G138" s="108"/>
      <c r="H138" s="94"/>
      <c r="I138" s="107"/>
      <c r="J138" s="107"/>
      <c r="K138" s="92"/>
      <c r="L138" s="107"/>
      <c r="M138" s="108"/>
      <c r="N138" s="109">
        <v>54.782608695652172</v>
      </c>
      <c r="O138" s="107">
        <v>73.07692307692308</v>
      </c>
      <c r="P138" s="107"/>
      <c r="Q138" s="110"/>
      <c r="R138" s="107"/>
      <c r="S138" s="108"/>
      <c r="T138" s="109"/>
      <c r="U138" s="107"/>
      <c r="V138" s="107"/>
      <c r="W138" s="110"/>
      <c r="X138" s="110"/>
      <c r="Y138" s="111"/>
      <c r="Z138" s="112"/>
      <c r="AA138" s="98"/>
      <c r="AB138" s="99"/>
      <c r="AC138" s="113"/>
      <c r="AD138" s="113"/>
      <c r="AE138" s="114"/>
      <c r="AF138" s="112"/>
      <c r="AG138" s="115"/>
      <c r="AH138" s="99"/>
      <c r="AI138" s="113"/>
      <c r="AJ138" s="113"/>
      <c r="AK138" s="114"/>
      <c r="AL138" s="99"/>
      <c r="AM138" s="99"/>
      <c r="AN138" s="99"/>
      <c r="AO138" s="113"/>
      <c r="AP138" s="113"/>
      <c r="AQ138" s="114"/>
      <c r="AR138" s="99"/>
      <c r="AS138" s="99"/>
      <c r="AT138" s="99"/>
      <c r="AU138" s="113"/>
      <c r="AV138" s="113"/>
      <c r="AW138" s="114"/>
      <c r="AX138" s="101"/>
      <c r="AY138" s="116"/>
      <c r="AZ138" s="117"/>
      <c r="BA138" s="116"/>
      <c r="BB138" s="117"/>
      <c r="BC138" s="118"/>
    </row>
    <row r="139" spans="1:55">
      <c r="A139" s="122" t="s">
        <v>606</v>
      </c>
      <c r="B139" s="106">
        <v>54.729729729729726</v>
      </c>
      <c r="C139" s="107">
        <v>46.212121212121211</v>
      </c>
      <c r="D139" s="107"/>
      <c r="E139" s="92"/>
      <c r="F139" s="107"/>
      <c r="G139" s="108"/>
      <c r="H139" s="94"/>
      <c r="I139" s="107"/>
      <c r="J139" s="107"/>
      <c r="K139" s="92"/>
      <c r="L139" s="107"/>
      <c r="M139" s="108"/>
      <c r="N139" s="109">
        <v>54.729729729729726</v>
      </c>
      <c r="O139" s="107">
        <v>46.212121212121211</v>
      </c>
      <c r="P139" s="107"/>
      <c r="Q139" s="110"/>
      <c r="R139" s="107"/>
      <c r="S139" s="108"/>
      <c r="T139" s="109"/>
      <c r="U139" s="107"/>
      <c r="V139" s="107"/>
      <c r="W139" s="110"/>
      <c r="X139" s="110"/>
      <c r="Y139" s="111"/>
      <c r="Z139" s="112"/>
      <c r="AA139" s="98"/>
      <c r="AB139" s="99"/>
      <c r="AC139" s="113"/>
      <c r="AD139" s="113"/>
      <c r="AE139" s="114"/>
      <c r="AF139" s="112"/>
      <c r="AG139" s="115"/>
      <c r="AH139" s="99"/>
      <c r="AI139" s="113"/>
      <c r="AJ139" s="113"/>
      <c r="AK139" s="114"/>
      <c r="AL139" s="99"/>
      <c r="AM139" s="99"/>
      <c r="AN139" s="99"/>
      <c r="AO139" s="113"/>
      <c r="AP139" s="113"/>
      <c r="AQ139" s="114"/>
      <c r="AR139" s="99"/>
      <c r="AS139" s="99"/>
      <c r="AT139" s="99"/>
      <c r="AU139" s="113"/>
      <c r="AV139" s="113"/>
      <c r="AW139" s="114"/>
      <c r="AX139" s="101"/>
      <c r="AY139" s="116"/>
      <c r="AZ139" s="117"/>
      <c r="BA139" s="116"/>
      <c r="BB139" s="117"/>
      <c r="BC139" s="118"/>
    </row>
    <row r="140" spans="1:55">
      <c r="A140" s="122" t="s">
        <v>607</v>
      </c>
      <c r="B140" s="106">
        <v>54.444444444444443</v>
      </c>
      <c r="C140" s="107">
        <v>72.727272727272734</v>
      </c>
      <c r="D140" s="107"/>
      <c r="E140" s="92"/>
      <c r="F140" s="107"/>
      <c r="G140" s="108"/>
      <c r="H140" s="94"/>
      <c r="I140" s="107"/>
      <c r="J140" s="107"/>
      <c r="K140" s="92"/>
      <c r="L140" s="107"/>
      <c r="M140" s="108"/>
      <c r="N140" s="109"/>
      <c r="O140" s="107"/>
      <c r="P140" s="107"/>
      <c r="Q140" s="110"/>
      <c r="R140" s="107"/>
      <c r="S140" s="108"/>
      <c r="T140" s="109">
        <v>54.444444444444443</v>
      </c>
      <c r="U140" s="107">
        <v>72.727272727272734</v>
      </c>
      <c r="V140" s="107"/>
      <c r="W140" s="110"/>
      <c r="X140" s="110"/>
      <c r="Y140" s="111"/>
      <c r="Z140" s="112"/>
      <c r="AA140" s="98"/>
      <c r="AB140" s="99"/>
      <c r="AC140" s="113"/>
      <c r="AD140" s="113"/>
      <c r="AE140" s="114"/>
      <c r="AF140" s="112"/>
      <c r="AG140" s="115"/>
      <c r="AH140" s="99"/>
      <c r="AI140" s="113"/>
      <c r="AJ140" s="113"/>
      <c r="AK140" s="114"/>
      <c r="AL140" s="99"/>
      <c r="AM140" s="99"/>
      <c r="AN140" s="99"/>
      <c r="AO140" s="113"/>
      <c r="AP140" s="113"/>
      <c r="AQ140" s="114"/>
      <c r="AR140" s="99"/>
      <c r="AS140" s="99"/>
      <c r="AT140" s="99"/>
      <c r="AU140" s="113"/>
      <c r="AV140" s="113"/>
      <c r="AW140" s="114"/>
      <c r="AX140" s="101"/>
      <c r="AY140" s="116"/>
      <c r="AZ140" s="117"/>
      <c r="BA140" s="116"/>
      <c r="BB140" s="117"/>
      <c r="BC140" s="118"/>
    </row>
    <row r="141" spans="1:55">
      <c r="A141" s="122" t="s">
        <v>608</v>
      </c>
      <c r="B141" s="106">
        <v>53.94736842105263</v>
      </c>
      <c r="C141" s="107">
        <v>65.131578947368425</v>
      </c>
      <c r="D141" s="107"/>
      <c r="E141" s="92"/>
      <c r="F141" s="107"/>
      <c r="G141" s="108"/>
      <c r="H141" s="94"/>
      <c r="I141" s="107"/>
      <c r="J141" s="107"/>
      <c r="K141" s="92"/>
      <c r="L141" s="107"/>
      <c r="M141" s="108"/>
      <c r="N141" s="109"/>
      <c r="O141" s="107"/>
      <c r="P141" s="107"/>
      <c r="Q141" s="110"/>
      <c r="R141" s="107"/>
      <c r="S141" s="108"/>
      <c r="T141" s="109">
        <v>53.94736842105263</v>
      </c>
      <c r="U141" s="107">
        <v>65.131578947368425</v>
      </c>
      <c r="V141" s="107"/>
      <c r="W141" s="110"/>
      <c r="X141" s="110"/>
      <c r="Y141" s="111"/>
      <c r="Z141" s="112"/>
      <c r="AA141" s="98"/>
      <c r="AB141" s="99"/>
      <c r="AC141" s="113"/>
      <c r="AD141" s="113"/>
      <c r="AE141" s="114"/>
      <c r="AF141" s="112"/>
      <c r="AG141" s="115"/>
      <c r="AH141" s="99"/>
      <c r="AI141" s="113"/>
      <c r="AJ141" s="113"/>
      <c r="AK141" s="114"/>
      <c r="AL141" s="99"/>
      <c r="AM141" s="99"/>
      <c r="AN141" s="99"/>
      <c r="AO141" s="113"/>
      <c r="AP141" s="113"/>
      <c r="AQ141" s="114"/>
      <c r="AR141" s="99"/>
      <c r="AS141" s="99"/>
      <c r="AT141" s="99"/>
      <c r="AU141" s="113"/>
      <c r="AV141" s="113"/>
      <c r="AW141" s="114"/>
      <c r="AX141" s="101"/>
      <c r="AY141" s="116"/>
      <c r="AZ141" s="117"/>
      <c r="BA141" s="116"/>
      <c r="BB141" s="117"/>
      <c r="BC141" s="118"/>
    </row>
    <row r="142" spans="1:55">
      <c r="A142" s="122" t="s">
        <v>609</v>
      </c>
      <c r="B142" s="106">
        <v>53.048780487804876</v>
      </c>
      <c r="C142" s="107">
        <v>67.261904761904759</v>
      </c>
      <c r="D142" s="107"/>
      <c r="E142" s="92"/>
      <c r="F142" s="107"/>
      <c r="G142" s="108"/>
      <c r="H142" s="94"/>
      <c r="I142" s="107"/>
      <c r="J142" s="107"/>
      <c r="K142" s="92"/>
      <c r="L142" s="107"/>
      <c r="M142" s="108"/>
      <c r="N142" s="109"/>
      <c r="O142" s="107"/>
      <c r="P142" s="107"/>
      <c r="Q142" s="110"/>
      <c r="R142" s="107"/>
      <c r="S142" s="108"/>
      <c r="T142" s="109">
        <v>53.048780487804876</v>
      </c>
      <c r="U142" s="107">
        <v>67.261904761904759</v>
      </c>
      <c r="V142" s="107"/>
      <c r="W142" s="110"/>
      <c r="X142" s="110"/>
      <c r="Y142" s="111"/>
      <c r="Z142" s="112"/>
      <c r="AA142" s="98"/>
      <c r="AB142" s="99"/>
      <c r="AC142" s="113"/>
      <c r="AD142" s="113"/>
      <c r="AE142" s="114"/>
      <c r="AF142" s="112"/>
      <c r="AG142" s="115"/>
      <c r="AH142" s="99"/>
      <c r="AI142" s="113"/>
      <c r="AJ142" s="113"/>
      <c r="AK142" s="114"/>
      <c r="AL142" s="99"/>
      <c r="AM142" s="99"/>
      <c r="AN142" s="99"/>
      <c r="AO142" s="113"/>
      <c r="AP142" s="113"/>
      <c r="AQ142" s="114"/>
      <c r="AR142" s="99"/>
      <c r="AS142" s="99"/>
      <c r="AT142" s="99"/>
      <c r="AU142" s="113"/>
      <c r="AV142" s="113"/>
      <c r="AW142" s="114"/>
      <c r="AX142" s="101"/>
      <c r="AY142" s="116"/>
      <c r="AZ142" s="117"/>
      <c r="BA142" s="116"/>
      <c r="BB142" s="117"/>
      <c r="BC142" s="118"/>
    </row>
    <row r="143" spans="1:55">
      <c r="A143" s="122" t="s">
        <v>610</v>
      </c>
      <c r="B143" s="106">
        <v>50</v>
      </c>
      <c r="C143" s="107">
        <v>58.87096774193548</v>
      </c>
      <c r="D143" s="107"/>
      <c r="E143" s="92"/>
      <c r="F143" s="107"/>
      <c r="G143" s="108"/>
      <c r="H143" s="94"/>
      <c r="I143" s="107"/>
      <c r="J143" s="107"/>
      <c r="K143" s="92"/>
      <c r="L143" s="107"/>
      <c r="M143" s="108"/>
      <c r="N143" s="109">
        <v>50</v>
      </c>
      <c r="O143" s="107">
        <v>58.87096774193548</v>
      </c>
      <c r="P143" s="107"/>
      <c r="Q143" s="110"/>
      <c r="R143" s="107"/>
      <c r="S143" s="108"/>
      <c r="T143" s="109"/>
      <c r="U143" s="107"/>
      <c r="V143" s="107"/>
      <c r="W143" s="110"/>
      <c r="X143" s="110"/>
      <c r="Y143" s="111"/>
      <c r="Z143" s="112"/>
      <c r="AA143" s="98"/>
      <c r="AB143" s="99"/>
      <c r="AC143" s="113"/>
      <c r="AD143" s="113"/>
      <c r="AE143" s="114"/>
      <c r="AF143" s="112"/>
      <c r="AG143" s="115"/>
      <c r="AH143" s="99"/>
      <c r="AI143" s="113"/>
      <c r="AJ143" s="113"/>
      <c r="AK143" s="114"/>
      <c r="AL143" s="99"/>
      <c r="AM143" s="99"/>
      <c r="AN143" s="99"/>
      <c r="AO143" s="113"/>
      <c r="AP143" s="113"/>
      <c r="AQ143" s="114"/>
      <c r="AR143" s="99"/>
      <c r="AS143" s="99"/>
      <c r="AT143" s="99"/>
      <c r="AU143" s="113"/>
      <c r="AV143" s="113"/>
      <c r="AW143" s="114"/>
      <c r="AX143" s="101"/>
      <c r="AY143" s="116"/>
      <c r="AZ143" s="117"/>
      <c r="BA143" s="116"/>
      <c r="BB143" s="117"/>
      <c r="BC143" s="118"/>
    </row>
    <row r="144" spans="1:55">
      <c r="A144" s="122" t="s">
        <v>611</v>
      </c>
      <c r="B144" s="106">
        <v>48.464912280701753</v>
      </c>
      <c r="C144" s="107">
        <v>95</v>
      </c>
      <c r="D144" s="107"/>
      <c r="E144" s="92"/>
      <c r="F144" s="107"/>
      <c r="G144" s="108"/>
      <c r="H144" s="94"/>
      <c r="I144" s="107"/>
      <c r="J144" s="107"/>
      <c r="K144" s="92"/>
      <c r="L144" s="107"/>
      <c r="M144" s="108"/>
      <c r="N144" s="109">
        <v>48.464912280701753</v>
      </c>
      <c r="O144" s="107">
        <v>95</v>
      </c>
      <c r="P144" s="107"/>
      <c r="Q144" s="110"/>
      <c r="R144" s="107"/>
      <c r="S144" s="108"/>
      <c r="T144" s="109"/>
      <c r="U144" s="107"/>
      <c r="V144" s="107"/>
      <c r="W144" s="110"/>
      <c r="X144" s="110"/>
      <c r="Y144" s="111"/>
      <c r="Z144" s="112"/>
      <c r="AA144" s="98"/>
      <c r="AB144" s="99"/>
      <c r="AC144" s="113"/>
      <c r="AD144" s="113"/>
      <c r="AE144" s="114"/>
      <c r="AF144" s="112"/>
      <c r="AG144" s="115"/>
      <c r="AH144" s="99"/>
      <c r="AI144" s="113"/>
      <c r="AJ144" s="113"/>
      <c r="AK144" s="114"/>
      <c r="AL144" s="99"/>
      <c r="AM144" s="99"/>
      <c r="AN144" s="99"/>
      <c r="AO144" s="113"/>
      <c r="AP144" s="113"/>
      <c r="AQ144" s="114"/>
      <c r="AR144" s="99"/>
      <c r="AS144" s="99"/>
      <c r="AT144" s="99"/>
      <c r="AU144" s="113"/>
      <c r="AV144" s="113"/>
      <c r="AW144" s="114"/>
      <c r="AX144" s="101"/>
      <c r="AY144" s="116"/>
      <c r="AZ144" s="117"/>
      <c r="BA144" s="116"/>
      <c r="BB144" s="117"/>
      <c r="BC144" s="118"/>
    </row>
    <row r="145" spans="1:55">
      <c r="A145" s="122" t="s">
        <v>612</v>
      </c>
      <c r="B145" s="106">
        <v>44.666666666666664</v>
      </c>
      <c r="C145" s="107">
        <v>55.263157894736842</v>
      </c>
      <c r="D145" s="107"/>
      <c r="E145" s="92"/>
      <c r="F145" s="107"/>
      <c r="G145" s="108"/>
      <c r="H145" s="94"/>
      <c r="I145" s="107"/>
      <c r="J145" s="107"/>
      <c r="K145" s="92"/>
      <c r="L145" s="107"/>
      <c r="M145" s="108"/>
      <c r="N145" s="109">
        <v>44.666666666666664</v>
      </c>
      <c r="O145" s="107">
        <v>55.263157894736842</v>
      </c>
      <c r="P145" s="107"/>
      <c r="Q145" s="110"/>
      <c r="R145" s="107"/>
      <c r="S145" s="108"/>
      <c r="T145" s="109"/>
      <c r="U145" s="107"/>
      <c r="V145" s="107"/>
      <c r="W145" s="110"/>
      <c r="X145" s="110"/>
      <c r="Y145" s="111"/>
      <c r="Z145" s="112"/>
      <c r="AA145" s="98"/>
      <c r="AB145" s="99"/>
      <c r="AC145" s="113"/>
      <c r="AD145" s="113"/>
      <c r="AE145" s="114"/>
      <c r="AF145" s="112"/>
      <c r="AG145" s="115"/>
      <c r="AH145" s="99"/>
      <c r="AI145" s="113"/>
      <c r="AJ145" s="113"/>
      <c r="AK145" s="114"/>
      <c r="AL145" s="99"/>
      <c r="AM145" s="99"/>
      <c r="AN145" s="99"/>
      <c r="AO145" s="113"/>
      <c r="AP145" s="113"/>
      <c r="AQ145" s="114"/>
      <c r="AR145" s="99"/>
      <c r="AS145" s="99"/>
      <c r="AT145" s="99"/>
      <c r="AU145" s="113"/>
      <c r="AV145" s="113"/>
      <c r="AW145" s="114"/>
      <c r="AX145" s="101"/>
      <c r="AY145" s="116"/>
      <c r="AZ145" s="117"/>
      <c r="BA145" s="116"/>
      <c r="BB145" s="117"/>
      <c r="BC145" s="118"/>
    </row>
    <row r="146" spans="1:55">
      <c r="A146" s="122" t="s">
        <v>613</v>
      </c>
      <c r="B146" s="106">
        <v>43.421052631578945</v>
      </c>
      <c r="C146" s="107">
        <v>57.142857142857139</v>
      </c>
      <c r="D146" s="107"/>
      <c r="E146" s="92"/>
      <c r="F146" s="107"/>
      <c r="G146" s="108"/>
      <c r="H146" s="94"/>
      <c r="I146" s="107"/>
      <c r="J146" s="107"/>
      <c r="K146" s="92"/>
      <c r="L146" s="107"/>
      <c r="M146" s="108"/>
      <c r="N146" s="109"/>
      <c r="O146" s="107"/>
      <c r="P146" s="107"/>
      <c r="Q146" s="110"/>
      <c r="R146" s="107"/>
      <c r="S146" s="108"/>
      <c r="T146" s="109">
        <v>43.421052631578945</v>
      </c>
      <c r="U146" s="107">
        <v>57.142857142857139</v>
      </c>
      <c r="V146" s="107"/>
      <c r="W146" s="110"/>
      <c r="X146" s="110"/>
      <c r="Y146" s="111"/>
      <c r="Z146" s="112"/>
      <c r="AA146" s="98"/>
      <c r="AB146" s="99"/>
      <c r="AC146" s="113"/>
      <c r="AD146" s="113"/>
      <c r="AE146" s="114"/>
      <c r="AF146" s="112"/>
      <c r="AG146" s="115"/>
      <c r="AH146" s="99"/>
      <c r="AI146" s="113"/>
      <c r="AJ146" s="113"/>
      <c r="AK146" s="114"/>
      <c r="AL146" s="99"/>
      <c r="AM146" s="99"/>
      <c r="AN146" s="99"/>
      <c r="AO146" s="113"/>
      <c r="AP146" s="113"/>
      <c r="AQ146" s="114"/>
      <c r="AR146" s="99"/>
      <c r="AS146" s="99"/>
      <c r="AT146" s="99"/>
      <c r="AU146" s="113"/>
      <c r="AV146" s="113"/>
      <c r="AW146" s="114"/>
      <c r="AX146" s="101"/>
      <c r="AY146" s="116"/>
      <c r="AZ146" s="117"/>
      <c r="BA146" s="116"/>
      <c r="BB146" s="117"/>
      <c r="BC146" s="118"/>
    </row>
    <row r="147" spans="1:55">
      <c r="A147" s="122" t="s">
        <v>614</v>
      </c>
      <c r="B147" s="106">
        <v>41.666666666666664</v>
      </c>
      <c r="C147" s="107"/>
      <c r="D147" s="107"/>
      <c r="E147" s="92"/>
      <c r="F147" s="107"/>
      <c r="G147" s="108"/>
      <c r="H147" s="94"/>
      <c r="I147" s="107"/>
      <c r="J147" s="107"/>
      <c r="K147" s="92"/>
      <c r="L147" s="107"/>
      <c r="M147" s="108"/>
      <c r="N147" s="109"/>
      <c r="O147" s="107"/>
      <c r="P147" s="107"/>
      <c r="Q147" s="110"/>
      <c r="R147" s="107"/>
      <c r="S147" s="108"/>
      <c r="T147" s="109">
        <v>41.666666666666664</v>
      </c>
      <c r="U147" s="107"/>
      <c r="V147" s="107"/>
      <c r="W147" s="110"/>
      <c r="X147" s="110"/>
      <c r="Y147" s="111"/>
      <c r="Z147" s="112"/>
      <c r="AA147" s="98"/>
      <c r="AB147" s="99"/>
      <c r="AC147" s="113"/>
      <c r="AD147" s="113"/>
      <c r="AE147" s="114"/>
      <c r="AF147" s="112"/>
      <c r="AG147" s="115"/>
      <c r="AH147" s="99"/>
      <c r="AI147" s="113"/>
      <c r="AJ147" s="113"/>
      <c r="AK147" s="114"/>
      <c r="AL147" s="99"/>
      <c r="AM147" s="99"/>
      <c r="AN147" s="99"/>
      <c r="AO147" s="113"/>
      <c r="AP147" s="113"/>
      <c r="AQ147" s="114"/>
      <c r="AR147" s="99"/>
      <c r="AS147" s="99"/>
      <c r="AT147" s="99"/>
      <c r="AU147" s="113"/>
      <c r="AV147" s="113"/>
      <c r="AW147" s="114"/>
      <c r="AX147" s="101"/>
      <c r="AY147" s="116"/>
      <c r="AZ147" s="117"/>
      <c r="BA147" s="116"/>
      <c r="BB147" s="117"/>
      <c r="BC147" s="118"/>
    </row>
    <row r="148" spans="1:55">
      <c r="A148" s="122" t="s">
        <v>615</v>
      </c>
      <c r="B148" s="106">
        <v>38.016528925619831</v>
      </c>
      <c r="C148" s="107">
        <v>79.375</v>
      </c>
      <c r="D148" s="107"/>
      <c r="E148" s="92"/>
      <c r="F148" s="107"/>
      <c r="G148" s="108"/>
      <c r="H148" s="94"/>
      <c r="I148" s="107"/>
      <c r="J148" s="107"/>
      <c r="K148" s="92"/>
      <c r="L148" s="107"/>
      <c r="M148" s="108"/>
      <c r="N148" s="109">
        <v>38.016528925619831</v>
      </c>
      <c r="O148" s="107">
        <v>79.375</v>
      </c>
      <c r="P148" s="107"/>
      <c r="Q148" s="110"/>
      <c r="R148" s="107"/>
      <c r="S148" s="108"/>
      <c r="T148" s="109"/>
      <c r="U148" s="107"/>
      <c r="V148" s="107"/>
      <c r="W148" s="110"/>
      <c r="X148" s="110"/>
      <c r="Y148" s="111"/>
      <c r="Z148" s="112"/>
      <c r="AA148" s="98"/>
      <c r="AB148" s="99"/>
      <c r="AC148" s="113"/>
      <c r="AD148" s="113"/>
      <c r="AE148" s="114"/>
      <c r="AF148" s="112"/>
      <c r="AG148" s="115"/>
      <c r="AH148" s="99"/>
      <c r="AI148" s="113"/>
      <c r="AJ148" s="113"/>
      <c r="AK148" s="114"/>
      <c r="AL148" s="99"/>
      <c r="AM148" s="99"/>
      <c r="AN148" s="99"/>
      <c r="AO148" s="113"/>
      <c r="AP148" s="113"/>
      <c r="AQ148" s="114"/>
      <c r="AR148" s="99"/>
      <c r="AS148" s="99"/>
      <c r="AT148" s="99"/>
      <c r="AU148" s="113"/>
      <c r="AV148" s="113"/>
      <c r="AW148" s="114"/>
      <c r="AX148" s="101"/>
      <c r="AY148" s="116"/>
      <c r="AZ148" s="117"/>
      <c r="BA148" s="116"/>
      <c r="BB148" s="117"/>
      <c r="BC148" s="118"/>
    </row>
    <row r="149" spans="1:55">
      <c r="A149" s="122" t="s">
        <v>616</v>
      </c>
      <c r="B149" s="106">
        <v>36.842105263157897</v>
      </c>
      <c r="C149" s="107">
        <v>92.073170731707322</v>
      </c>
      <c r="D149" s="107"/>
      <c r="E149" s="92"/>
      <c r="F149" s="107"/>
      <c r="G149" s="108"/>
      <c r="H149" s="94"/>
      <c r="I149" s="107"/>
      <c r="J149" s="107"/>
      <c r="K149" s="92"/>
      <c r="L149" s="107"/>
      <c r="M149" s="108"/>
      <c r="N149" s="109"/>
      <c r="O149" s="107"/>
      <c r="P149" s="107"/>
      <c r="Q149" s="110"/>
      <c r="R149" s="107"/>
      <c r="S149" s="108"/>
      <c r="T149" s="109">
        <v>36.842105263157897</v>
      </c>
      <c r="U149" s="107">
        <v>92.073170731707322</v>
      </c>
      <c r="V149" s="107"/>
      <c r="W149" s="110"/>
      <c r="X149" s="110"/>
      <c r="Y149" s="111"/>
      <c r="Z149" s="112"/>
      <c r="AA149" s="98"/>
      <c r="AB149" s="99"/>
      <c r="AC149" s="113"/>
      <c r="AD149" s="113"/>
      <c r="AE149" s="114"/>
      <c r="AF149" s="112"/>
      <c r="AG149" s="115"/>
      <c r="AH149" s="99"/>
      <c r="AI149" s="113"/>
      <c r="AJ149" s="113"/>
      <c r="AK149" s="114"/>
      <c r="AL149" s="99"/>
      <c r="AM149" s="99"/>
      <c r="AN149" s="99"/>
      <c r="AO149" s="113"/>
      <c r="AP149" s="113"/>
      <c r="AQ149" s="114"/>
      <c r="AR149" s="99"/>
      <c r="AS149" s="99"/>
      <c r="AT149" s="99"/>
      <c r="AU149" s="113"/>
      <c r="AV149" s="113"/>
      <c r="AW149" s="114"/>
      <c r="AX149" s="101"/>
      <c r="AY149" s="116"/>
      <c r="AZ149" s="117"/>
      <c r="BA149" s="116"/>
      <c r="BB149" s="117"/>
      <c r="BC149" s="118"/>
    </row>
    <row r="150" spans="1:55">
      <c r="A150" s="122" t="s">
        <v>617</v>
      </c>
      <c r="B150" s="106">
        <v>34.615384615384613</v>
      </c>
      <c r="C150" s="107">
        <v>25</v>
      </c>
      <c r="D150" s="107"/>
      <c r="E150" s="92"/>
      <c r="F150" s="107"/>
      <c r="G150" s="108"/>
      <c r="H150" s="94"/>
      <c r="I150" s="107"/>
      <c r="J150" s="107"/>
      <c r="K150" s="92"/>
      <c r="L150" s="107"/>
      <c r="M150" s="108"/>
      <c r="N150" s="109"/>
      <c r="O150" s="107"/>
      <c r="P150" s="107"/>
      <c r="Q150" s="110"/>
      <c r="R150" s="107"/>
      <c r="S150" s="108"/>
      <c r="T150" s="109">
        <v>34.615384615384613</v>
      </c>
      <c r="U150" s="107">
        <v>25</v>
      </c>
      <c r="V150" s="107"/>
      <c r="W150" s="110"/>
      <c r="X150" s="110"/>
      <c r="Y150" s="111"/>
      <c r="Z150" s="112"/>
      <c r="AA150" s="98"/>
      <c r="AB150" s="99"/>
      <c r="AC150" s="113"/>
      <c r="AD150" s="113"/>
      <c r="AE150" s="114"/>
      <c r="AF150" s="112"/>
      <c r="AG150" s="115"/>
      <c r="AH150" s="99"/>
      <c r="AI150" s="113"/>
      <c r="AJ150" s="113"/>
      <c r="AK150" s="114"/>
      <c r="AL150" s="99"/>
      <c r="AM150" s="99"/>
      <c r="AN150" s="99"/>
      <c r="AO150" s="113"/>
      <c r="AP150" s="113"/>
      <c r="AQ150" s="114"/>
      <c r="AR150" s="99"/>
      <c r="AS150" s="99"/>
      <c r="AT150" s="99"/>
      <c r="AU150" s="113"/>
      <c r="AV150" s="113"/>
      <c r="AW150" s="114"/>
      <c r="AX150" s="101"/>
      <c r="AY150" s="116"/>
      <c r="AZ150" s="117"/>
      <c r="BA150" s="116"/>
      <c r="BB150" s="117"/>
      <c r="BC150" s="118"/>
    </row>
    <row r="151" spans="1:55">
      <c r="A151" s="122" t="s">
        <v>618</v>
      </c>
      <c r="B151" s="106">
        <v>32.352941176470587</v>
      </c>
      <c r="C151" s="107">
        <v>59.615384615384613</v>
      </c>
      <c r="D151" s="107"/>
      <c r="E151" s="92"/>
      <c r="F151" s="107"/>
      <c r="G151" s="108"/>
      <c r="H151" s="94"/>
      <c r="I151" s="107"/>
      <c r="J151" s="107"/>
      <c r="K151" s="92"/>
      <c r="L151" s="107"/>
      <c r="M151" s="108"/>
      <c r="N151" s="109"/>
      <c r="O151" s="107"/>
      <c r="P151" s="107"/>
      <c r="Q151" s="110"/>
      <c r="R151" s="107"/>
      <c r="S151" s="108"/>
      <c r="T151" s="109">
        <v>32.352941176470587</v>
      </c>
      <c r="U151" s="107">
        <v>59.615384615384613</v>
      </c>
      <c r="V151" s="107"/>
      <c r="W151" s="110"/>
      <c r="X151" s="110"/>
      <c r="Y151" s="111"/>
      <c r="Z151" s="112"/>
      <c r="AA151" s="98"/>
      <c r="AB151" s="99"/>
      <c r="AC151" s="113"/>
      <c r="AD151" s="113"/>
      <c r="AE151" s="114"/>
      <c r="AF151" s="112"/>
      <c r="AG151" s="115"/>
      <c r="AH151" s="99"/>
      <c r="AI151" s="113"/>
      <c r="AJ151" s="113"/>
      <c r="AK151" s="114"/>
      <c r="AL151" s="99"/>
      <c r="AM151" s="99"/>
      <c r="AN151" s="99"/>
      <c r="AO151" s="113"/>
      <c r="AP151" s="113"/>
      <c r="AQ151" s="114"/>
      <c r="AR151" s="99"/>
      <c r="AS151" s="99"/>
      <c r="AT151" s="99"/>
      <c r="AU151" s="113"/>
      <c r="AV151" s="113"/>
      <c r="AW151" s="114"/>
      <c r="AX151" s="101"/>
      <c r="AY151" s="116"/>
      <c r="AZ151" s="117"/>
      <c r="BA151" s="116"/>
      <c r="BB151" s="117"/>
      <c r="BC151" s="118"/>
    </row>
    <row r="152" spans="1:55">
      <c r="A152" s="122" t="s">
        <v>619</v>
      </c>
      <c r="B152" s="106">
        <v>30.405405405405403</v>
      </c>
      <c r="C152" s="107">
        <v>75.641025641025635</v>
      </c>
      <c r="D152" s="107"/>
      <c r="E152" s="92"/>
      <c r="F152" s="107"/>
      <c r="G152" s="108"/>
      <c r="H152" s="94"/>
      <c r="I152" s="107"/>
      <c r="J152" s="107"/>
      <c r="K152" s="92"/>
      <c r="L152" s="107"/>
      <c r="M152" s="108"/>
      <c r="N152" s="109"/>
      <c r="O152" s="107"/>
      <c r="P152" s="107"/>
      <c r="Q152" s="110"/>
      <c r="R152" s="107"/>
      <c r="S152" s="108"/>
      <c r="T152" s="109">
        <v>30.405405405405403</v>
      </c>
      <c r="U152" s="107">
        <v>75.641025641025635</v>
      </c>
      <c r="V152" s="107"/>
      <c r="W152" s="110"/>
      <c r="X152" s="110"/>
      <c r="Y152" s="111"/>
      <c r="Z152" s="112"/>
      <c r="AA152" s="98"/>
      <c r="AB152" s="99"/>
      <c r="AC152" s="113"/>
      <c r="AD152" s="113"/>
      <c r="AE152" s="114"/>
      <c r="AF152" s="112"/>
      <c r="AG152" s="115"/>
      <c r="AH152" s="99"/>
      <c r="AI152" s="113"/>
      <c r="AJ152" s="113"/>
      <c r="AK152" s="114"/>
      <c r="AL152" s="99"/>
      <c r="AM152" s="99"/>
      <c r="AN152" s="99"/>
      <c r="AO152" s="113"/>
      <c r="AP152" s="113"/>
      <c r="AQ152" s="114"/>
      <c r="AR152" s="99"/>
      <c r="AS152" s="99"/>
      <c r="AT152" s="99"/>
      <c r="AU152" s="113"/>
      <c r="AV152" s="113"/>
      <c r="AW152" s="114"/>
      <c r="AX152" s="101"/>
      <c r="AY152" s="116"/>
      <c r="AZ152" s="117"/>
      <c r="BA152" s="116"/>
      <c r="BB152" s="117"/>
      <c r="BC152" s="118"/>
    </row>
    <row r="153" spans="1:55">
      <c r="A153" s="122" t="s">
        <v>620</v>
      </c>
      <c r="B153" s="106">
        <v>28.571428571428569</v>
      </c>
      <c r="C153" s="107">
        <v>75</v>
      </c>
      <c r="D153" s="107"/>
      <c r="E153" s="92"/>
      <c r="F153" s="107"/>
      <c r="G153" s="108"/>
      <c r="H153" s="94"/>
      <c r="I153" s="107"/>
      <c r="J153" s="107"/>
      <c r="K153" s="92"/>
      <c r="L153" s="107"/>
      <c r="M153" s="108"/>
      <c r="N153" s="109"/>
      <c r="O153" s="107"/>
      <c r="P153" s="107"/>
      <c r="Q153" s="110"/>
      <c r="R153" s="107"/>
      <c r="S153" s="108"/>
      <c r="T153" s="109">
        <v>28.571428571428569</v>
      </c>
      <c r="U153" s="107">
        <v>75</v>
      </c>
      <c r="V153" s="107"/>
      <c r="W153" s="110"/>
      <c r="X153" s="110"/>
      <c r="Y153" s="111"/>
      <c r="Z153" s="112"/>
      <c r="AA153" s="98"/>
      <c r="AB153" s="99"/>
      <c r="AC153" s="113"/>
      <c r="AD153" s="113"/>
      <c r="AE153" s="114"/>
      <c r="AF153" s="112"/>
      <c r="AG153" s="115"/>
      <c r="AH153" s="99"/>
      <c r="AI153" s="113"/>
      <c r="AJ153" s="113"/>
      <c r="AK153" s="114"/>
      <c r="AL153" s="99"/>
      <c r="AM153" s="99"/>
      <c r="AN153" s="99"/>
      <c r="AO153" s="113"/>
      <c r="AP153" s="113"/>
      <c r="AQ153" s="114"/>
      <c r="AR153" s="99"/>
      <c r="AS153" s="99"/>
      <c r="AT153" s="99"/>
      <c r="AU153" s="113"/>
      <c r="AV153" s="113"/>
      <c r="AW153" s="114"/>
      <c r="AX153" s="101"/>
      <c r="AY153" s="116"/>
      <c r="AZ153" s="117"/>
      <c r="BA153" s="116"/>
      <c r="BB153" s="117"/>
      <c r="BC153" s="118"/>
    </row>
    <row r="154" spans="1:55">
      <c r="A154" s="122" t="s">
        <v>621</v>
      </c>
      <c r="B154" s="106">
        <v>27.941176470588236</v>
      </c>
      <c r="C154" s="107">
        <v>64.375</v>
      </c>
      <c r="D154" s="107"/>
      <c r="E154" s="92"/>
      <c r="F154" s="107"/>
      <c r="G154" s="108"/>
      <c r="H154" s="94"/>
      <c r="I154" s="107"/>
      <c r="J154" s="107"/>
      <c r="K154" s="92"/>
      <c r="L154" s="107"/>
      <c r="M154" s="108"/>
      <c r="N154" s="109"/>
      <c r="O154" s="107"/>
      <c r="P154" s="107"/>
      <c r="Q154" s="110"/>
      <c r="R154" s="107"/>
      <c r="S154" s="108"/>
      <c r="T154" s="109">
        <v>27.941176470588236</v>
      </c>
      <c r="U154" s="107">
        <v>64.375</v>
      </c>
      <c r="V154" s="107"/>
      <c r="W154" s="110"/>
      <c r="X154" s="110"/>
      <c r="Y154" s="111"/>
      <c r="Z154" s="112"/>
      <c r="AA154" s="98"/>
      <c r="AB154" s="99"/>
      <c r="AC154" s="113"/>
      <c r="AD154" s="113"/>
      <c r="AE154" s="114"/>
      <c r="AF154" s="112"/>
      <c r="AG154" s="115"/>
      <c r="AH154" s="99"/>
      <c r="AI154" s="113"/>
      <c r="AJ154" s="113"/>
      <c r="AK154" s="114"/>
      <c r="AL154" s="99"/>
      <c r="AM154" s="99"/>
      <c r="AN154" s="99"/>
      <c r="AO154" s="113"/>
      <c r="AP154" s="113"/>
      <c r="AQ154" s="114"/>
      <c r="AR154" s="99"/>
      <c r="AS154" s="99"/>
      <c r="AT154" s="99"/>
      <c r="AU154" s="113"/>
      <c r="AV154" s="113"/>
      <c r="AW154" s="114"/>
      <c r="AX154" s="101"/>
      <c r="AY154" s="116"/>
      <c r="AZ154" s="117"/>
      <c r="BA154" s="116"/>
      <c r="BB154" s="117"/>
      <c r="BC154" s="118"/>
    </row>
    <row r="155" spans="1:55">
      <c r="A155" s="122" t="s">
        <v>622</v>
      </c>
      <c r="B155" s="106">
        <v>22.297297297297298</v>
      </c>
      <c r="C155" s="107">
        <v>86.30952380952381</v>
      </c>
      <c r="D155" s="107"/>
      <c r="E155" s="92"/>
      <c r="F155" s="107"/>
      <c r="G155" s="108"/>
      <c r="H155" s="94"/>
      <c r="I155" s="107"/>
      <c r="J155" s="107"/>
      <c r="K155" s="92"/>
      <c r="L155" s="107"/>
      <c r="M155" s="108"/>
      <c r="N155" s="109"/>
      <c r="O155" s="107"/>
      <c r="P155" s="107"/>
      <c r="Q155" s="110"/>
      <c r="R155" s="107"/>
      <c r="S155" s="108"/>
      <c r="T155" s="109">
        <v>22.297297297297298</v>
      </c>
      <c r="U155" s="107">
        <v>86.30952380952381</v>
      </c>
      <c r="V155" s="107"/>
      <c r="W155" s="110"/>
      <c r="X155" s="110"/>
      <c r="Y155" s="111"/>
      <c r="Z155" s="112"/>
      <c r="AA155" s="98"/>
      <c r="AB155" s="99"/>
      <c r="AC155" s="113"/>
      <c r="AD155" s="113"/>
      <c r="AE155" s="114"/>
      <c r="AF155" s="112"/>
      <c r="AG155" s="115"/>
      <c r="AH155" s="99"/>
      <c r="AI155" s="113"/>
      <c r="AJ155" s="113"/>
      <c r="AK155" s="114"/>
      <c r="AL155" s="99"/>
      <c r="AM155" s="99"/>
      <c r="AN155" s="99"/>
      <c r="AO155" s="113"/>
      <c r="AP155" s="113"/>
      <c r="AQ155" s="114"/>
      <c r="AR155" s="99"/>
      <c r="AS155" s="99"/>
      <c r="AT155" s="99"/>
      <c r="AU155" s="113"/>
      <c r="AV155" s="113"/>
      <c r="AW155" s="114"/>
      <c r="AX155" s="101"/>
      <c r="AY155" s="116"/>
      <c r="AZ155" s="117"/>
      <c r="BA155" s="116"/>
      <c r="BB155" s="117"/>
      <c r="BC155" s="118"/>
    </row>
    <row r="156" spans="1:55">
      <c r="A156" s="122" t="s">
        <v>623</v>
      </c>
      <c r="B156" s="106">
        <v>21.666666666666664</v>
      </c>
      <c r="C156" s="107"/>
      <c r="D156" s="107"/>
      <c r="E156" s="92"/>
      <c r="F156" s="107"/>
      <c r="G156" s="108"/>
      <c r="H156" s="94"/>
      <c r="I156" s="107"/>
      <c r="J156" s="107"/>
      <c r="K156" s="92"/>
      <c r="L156" s="107"/>
      <c r="M156" s="108"/>
      <c r="N156" s="109"/>
      <c r="O156" s="107"/>
      <c r="P156" s="107"/>
      <c r="Q156" s="110"/>
      <c r="R156" s="107"/>
      <c r="S156" s="108"/>
      <c r="T156" s="109">
        <v>21.666666666666664</v>
      </c>
      <c r="U156" s="107"/>
      <c r="V156" s="107"/>
      <c r="W156" s="110"/>
      <c r="X156" s="110"/>
      <c r="Y156" s="111"/>
      <c r="Z156" s="112"/>
      <c r="AA156" s="98"/>
      <c r="AB156" s="99"/>
      <c r="AC156" s="113"/>
      <c r="AD156" s="113"/>
      <c r="AE156" s="114"/>
      <c r="AF156" s="112"/>
      <c r="AG156" s="115"/>
      <c r="AH156" s="99"/>
      <c r="AI156" s="113"/>
      <c r="AJ156" s="113"/>
      <c r="AK156" s="114"/>
      <c r="AL156" s="99"/>
      <c r="AM156" s="99"/>
      <c r="AN156" s="99"/>
      <c r="AO156" s="113"/>
      <c r="AP156" s="113"/>
      <c r="AQ156" s="114"/>
      <c r="AR156" s="99"/>
      <c r="AS156" s="99"/>
      <c r="AT156" s="99"/>
      <c r="AU156" s="113"/>
      <c r="AV156" s="113"/>
      <c r="AW156" s="114"/>
      <c r="AX156" s="101"/>
      <c r="AY156" s="116"/>
      <c r="AZ156" s="117"/>
      <c r="BA156" s="116"/>
      <c r="BB156" s="117"/>
      <c r="BC156" s="118"/>
    </row>
    <row r="157" spans="1:55">
      <c r="A157" s="122" t="s">
        <v>624</v>
      </c>
      <c r="B157" s="106">
        <v>20</v>
      </c>
      <c r="C157" s="107">
        <v>83.333333333333329</v>
      </c>
      <c r="D157" s="107"/>
      <c r="E157" s="92"/>
      <c r="F157" s="107"/>
      <c r="G157" s="108"/>
      <c r="H157" s="94"/>
      <c r="I157" s="107"/>
      <c r="J157" s="107"/>
      <c r="K157" s="92"/>
      <c r="L157" s="107"/>
      <c r="M157" s="108"/>
      <c r="N157" s="109"/>
      <c r="O157" s="107"/>
      <c r="P157" s="107"/>
      <c r="Q157" s="110"/>
      <c r="R157" s="107"/>
      <c r="S157" s="108"/>
      <c r="T157" s="109">
        <v>20</v>
      </c>
      <c r="U157" s="107">
        <v>83.333333333333329</v>
      </c>
      <c r="V157" s="107"/>
      <c r="W157" s="110"/>
      <c r="X157" s="110"/>
      <c r="Y157" s="111"/>
      <c r="Z157" s="112"/>
      <c r="AA157" s="98"/>
      <c r="AB157" s="99"/>
      <c r="AC157" s="113"/>
      <c r="AD157" s="113"/>
      <c r="AE157" s="114"/>
      <c r="AF157" s="112"/>
      <c r="AG157" s="115"/>
      <c r="AH157" s="99"/>
      <c r="AI157" s="113"/>
      <c r="AJ157" s="113"/>
      <c r="AK157" s="114"/>
      <c r="AL157" s="99"/>
      <c r="AM157" s="99"/>
      <c r="AN157" s="99"/>
      <c r="AO157" s="113"/>
      <c r="AP157" s="113"/>
      <c r="AQ157" s="114"/>
      <c r="AR157" s="99"/>
      <c r="AS157" s="99"/>
      <c r="AT157" s="99"/>
      <c r="AU157" s="113"/>
      <c r="AV157" s="113"/>
      <c r="AW157" s="114"/>
      <c r="AX157" s="101"/>
      <c r="AY157" s="116"/>
      <c r="AZ157" s="117"/>
      <c r="BA157" s="116"/>
      <c r="BB157" s="117"/>
      <c r="BC157" s="118"/>
    </row>
    <row r="158" spans="1:55">
      <c r="A158" s="122" t="s">
        <v>625</v>
      </c>
      <c r="B158" s="106">
        <v>17.142857142857142</v>
      </c>
      <c r="C158" s="107">
        <v>61.53846153846154</v>
      </c>
      <c r="D158" s="107"/>
      <c r="E158" s="92"/>
      <c r="F158" s="107"/>
      <c r="G158" s="108"/>
      <c r="H158" s="94"/>
      <c r="I158" s="107"/>
      <c r="J158" s="107"/>
      <c r="K158" s="92"/>
      <c r="L158" s="107"/>
      <c r="M158" s="108"/>
      <c r="N158" s="109"/>
      <c r="O158" s="107"/>
      <c r="P158" s="107"/>
      <c r="Q158" s="110"/>
      <c r="R158" s="107"/>
      <c r="S158" s="108"/>
      <c r="T158" s="109">
        <v>17.142857142857142</v>
      </c>
      <c r="U158" s="107">
        <v>61.53846153846154</v>
      </c>
      <c r="V158" s="107"/>
      <c r="W158" s="110"/>
      <c r="X158" s="110"/>
      <c r="Y158" s="111"/>
      <c r="Z158" s="112"/>
      <c r="AA158" s="98"/>
      <c r="AB158" s="99"/>
      <c r="AC158" s="113"/>
      <c r="AD158" s="113"/>
      <c r="AE158" s="114"/>
      <c r="AF158" s="112"/>
      <c r="AG158" s="115"/>
      <c r="AH158" s="99"/>
      <c r="AI158" s="113"/>
      <c r="AJ158" s="113"/>
      <c r="AK158" s="114"/>
      <c r="AL158" s="99"/>
      <c r="AM158" s="99"/>
      <c r="AN158" s="99"/>
      <c r="AO158" s="113"/>
      <c r="AP158" s="113"/>
      <c r="AQ158" s="114"/>
      <c r="AR158" s="99"/>
      <c r="AS158" s="99"/>
      <c r="AT158" s="99"/>
      <c r="AU158" s="113"/>
      <c r="AV158" s="113"/>
      <c r="AW158" s="114"/>
      <c r="AX158" s="101"/>
      <c r="AY158" s="116"/>
      <c r="AZ158" s="117"/>
      <c r="BA158" s="116"/>
      <c r="BB158" s="117"/>
      <c r="BC158" s="118"/>
    </row>
    <row r="159" spans="1:55">
      <c r="A159" s="122" t="s">
        <v>626</v>
      </c>
      <c r="B159" s="106"/>
      <c r="C159" s="107"/>
      <c r="D159" s="107"/>
      <c r="E159" s="92"/>
      <c r="F159" s="107"/>
      <c r="G159" s="108"/>
      <c r="H159" s="94"/>
      <c r="I159" s="107"/>
      <c r="J159" s="107"/>
      <c r="K159" s="92"/>
      <c r="L159" s="107"/>
      <c r="M159" s="108"/>
      <c r="N159" s="109"/>
      <c r="O159" s="107"/>
      <c r="P159" s="107"/>
      <c r="Q159" s="110"/>
      <c r="R159" s="107"/>
      <c r="S159" s="108"/>
      <c r="T159" s="109"/>
      <c r="U159" s="107"/>
      <c r="V159" s="107"/>
      <c r="W159" s="110"/>
      <c r="X159" s="110"/>
      <c r="Y159" s="111"/>
      <c r="Z159" s="112"/>
      <c r="AA159" s="98"/>
      <c r="AB159" s="99"/>
      <c r="AC159" s="113"/>
      <c r="AD159" s="113"/>
      <c r="AE159" s="114"/>
      <c r="AF159" s="112"/>
      <c r="AG159" s="115"/>
      <c r="AH159" s="99"/>
      <c r="AI159" s="113"/>
      <c r="AJ159" s="113"/>
      <c r="AK159" s="114"/>
      <c r="AL159" s="99"/>
      <c r="AM159" s="99"/>
      <c r="AN159" s="99"/>
      <c r="AO159" s="113"/>
      <c r="AP159" s="113"/>
      <c r="AQ159" s="114"/>
      <c r="AR159" s="99"/>
      <c r="AS159" s="99"/>
      <c r="AT159" s="99"/>
      <c r="AU159" s="113"/>
      <c r="AV159" s="113"/>
      <c r="AW159" s="114"/>
      <c r="AX159" s="101"/>
      <c r="AY159" s="116"/>
      <c r="AZ159" s="117"/>
      <c r="BA159" s="116"/>
      <c r="BB159" s="117"/>
      <c r="BC159" s="118"/>
    </row>
    <row r="160" spans="1:55">
      <c r="A160" s="122" t="s">
        <v>459</v>
      </c>
      <c r="B160" s="106"/>
      <c r="C160" s="107"/>
      <c r="D160" s="107"/>
      <c r="E160" s="92"/>
      <c r="F160" s="107"/>
      <c r="G160" s="108"/>
      <c r="H160" s="109"/>
      <c r="I160" s="107"/>
      <c r="J160" s="107"/>
      <c r="K160" s="92"/>
      <c r="L160" s="107"/>
      <c r="M160" s="108"/>
      <c r="N160" s="109"/>
      <c r="O160" s="107"/>
      <c r="P160" s="107"/>
      <c r="Q160" s="110"/>
      <c r="R160" s="107"/>
      <c r="S160" s="108"/>
      <c r="T160" s="109"/>
      <c r="U160" s="107"/>
      <c r="V160" s="107"/>
      <c r="W160" s="110"/>
      <c r="X160" s="110"/>
      <c r="Y160" s="111"/>
      <c r="Z160" s="112"/>
      <c r="AA160" s="98"/>
      <c r="AB160" s="99"/>
      <c r="AC160" s="113"/>
      <c r="AD160" s="113"/>
      <c r="AE160" s="114"/>
      <c r="AF160" s="112"/>
      <c r="AG160" s="115"/>
      <c r="AH160" s="99"/>
      <c r="AI160" s="113"/>
      <c r="AJ160" s="113"/>
      <c r="AK160" s="114"/>
      <c r="AL160" s="99"/>
      <c r="AM160" s="99"/>
      <c r="AN160" s="99"/>
      <c r="AO160" s="113"/>
      <c r="AP160" s="113"/>
      <c r="AQ160" s="114"/>
      <c r="AR160" s="99"/>
      <c r="AS160" s="99"/>
      <c r="AT160" s="99"/>
      <c r="AU160" s="113"/>
      <c r="AV160" s="113"/>
      <c r="AW160" s="114"/>
      <c r="AX160" s="119">
        <v>91.666666666666671</v>
      </c>
      <c r="AY160" s="116">
        <v>60.714285714285715</v>
      </c>
      <c r="AZ160" s="117"/>
      <c r="BA160" s="116">
        <v>40.909090909090907</v>
      </c>
      <c r="BB160" s="117"/>
      <c r="BC160" s="118"/>
    </row>
    <row r="161" spans="1:55">
      <c r="A161" s="122" t="s">
        <v>460</v>
      </c>
      <c r="B161" s="106"/>
      <c r="C161" s="107"/>
      <c r="D161" s="107"/>
      <c r="E161" s="92"/>
      <c r="F161" s="107"/>
      <c r="G161" s="108"/>
      <c r="H161" s="109"/>
      <c r="I161" s="107"/>
      <c r="J161" s="107"/>
      <c r="K161" s="92"/>
      <c r="L161" s="107"/>
      <c r="M161" s="108"/>
      <c r="N161" s="109"/>
      <c r="O161" s="107"/>
      <c r="P161" s="107"/>
      <c r="Q161" s="110"/>
      <c r="R161" s="107"/>
      <c r="S161" s="108"/>
      <c r="T161" s="109"/>
      <c r="U161" s="107"/>
      <c r="V161" s="107"/>
      <c r="W161" s="110"/>
      <c r="X161" s="110"/>
      <c r="Y161" s="111"/>
      <c r="Z161" s="112"/>
      <c r="AA161" s="98"/>
      <c r="AB161" s="99"/>
      <c r="AC161" s="113"/>
      <c r="AD161" s="113"/>
      <c r="AE161" s="114"/>
      <c r="AF161" s="112"/>
      <c r="AG161" s="115"/>
      <c r="AH161" s="99"/>
      <c r="AI161" s="113"/>
      <c r="AJ161" s="113"/>
      <c r="AK161" s="114"/>
      <c r="AL161" s="99"/>
      <c r="AM161" s="99"/>
      <c r="AN161" s="99"/>
      <c r="AO161" s="113"/>
      <c r="AP161" s="113"/>
      <c r="AQ161" s="114"/>
      <c r="AR161" s="99"/>
      <c r="AS161" s="99"/>
      <c r="AT161" s="99"/>
      <c r="AU161" s="113"/>
      <c r="AV161" s="113"/>
      <c r="AW161" s="114"/>
      <c r="AX161" s="119">
        <v>89.224137931034477</v>
      </c>
      <c r="AY161" s="116">
        <v>86.086956521739125</v>
      </c>
      <c r="AZ161" s="117"/>
      <c r="BA161" s="116">
        <v>94.782608695652172</v>
      </c>
      <c r="BB161" s="117"/>
      <c r="BC161" s="118"/>
    </row>
    <row r="162" spans="1:55">
      <c r="A162" s="122" t="s">
        <v>461</v>
      </c>
      <c r="B162" s="106"/>
      <c r="C162" s="107"/>
      <c r="D162" s="107"/>
      <c r="E162" s="92"/>
      <c r="F162" s="107"/>
      <c r="G162" s="108"/>
      <c r="H162" s="109"/>
      <c r="I162" s="107"/>
      <c r="J162" s="107"/>
      <c r="K162" s="92"/>
      <c r="L162" s="107"/>
      <c r="M162" s="108"/>
      <c r="N162" s="109"/>
      <c r="O162" s="107"/>
      <c r="P162" s="107"/>
      <c r="Q162" s="110"/>
      <c r="R162" s="107"/>
      <c r="S162" s="108"/>
      <c r="T162" s="109"/>
      <c r="U162" s="107"/>
      <c r="V162" s="107"/>
      <c r="W162" s="110"/>
      <c r="X162" s="110"/>
      <c r="Y162" s="111"/>
      <c r="Z162" s="112"/>
      <c r="AA162" s="98"/>
      <c r="AB162" s="99"/>
      <c r="AC162" s="113"/>
      <c r="AD162" s="113"/>
      <c r="AE162" s="114"/>
      <c r="AF162" s="112"/>
      <c r="AG162" s="115"/>
      <c r="AH162" s="99"/>
      <c r="AI162" s="113"/>
      <c r="AJ162" s="113"/>
      <c r="AK162" s="114"/>
      <c r="AL162" s="99"/>
      <c r="AM162" s="99"/>
      <c r="AN162" s="99"/>
      <c r="AO162" s="113"/>
      <c r="AP162" s="113"/>
      <c r="AQ162" s="114"/>
      <c r="AR162" s="99"/>
      <c r="AS162" s="99"/>
      <c r="AT162" s="99"/>
      <c r="AU162" s="113"/>
      <c r="AV162" s="113"/>
      <c r="AW162" s="114"/>
      <c r="AX162" s="119">
        <v>68.103448275862064</v>
      </c>
      <c r="AY162" s="116">
        <v>78.222222222222229</v>
      </c>
      <c r="AZ162" s="117"/>
      <c r="BA162" s="116">
        <v>68.468468468468473</v>
      </c>
      <c r="BB162" s="117"/>
      <c r="BC162" s="118"/>
    </row>
    <row r="163" spans="1:55">
      <c r="A163" s="122" t="s">
        <v>462</v>
      </c>
      <c r="B163" s="106"/>
      <c r="C163" s="107"/>
      <c r="D163" s="107"/>
      <c r="E163" s="92"/>
      <c r="F163" s="107"/>
      <c r="G163" s="108"/>
      <c r="H163" s="109"/>
      <c r="I163" s="107"/>
      <c r="J163" s="107"/>
      <c r="K163" s="92"/>
      <c r="L163" s="107"/>
      <c r="M163" s="108"/>
      <c r="N163" s="109"/>
      <c r="O163" s="107"/>
      <c r="P163" s="107"/>
      <c r="Q163" s="110"/>
      <c r="R163" s="107"/>
      <c r="S163" s="108"/>
      <c r="T163" s="109"/>
      <c r="U163" s="107"/>
      <c r="V163" s="107"/>
      <c r="W163" s="110"/>
      <c r="X163" s="110"/>
      <c r="Y163" s="111"/>
      <c r="Z163" s="112"/>
      <c r="AA163" s="98"/>
      <c r="AB163" s="99"/>
      <c r="AC163" s="113"/>
      <c r="AD163" s="113"/>
      <c r="AE163" s="114"/>
      <c r="AF163" s="112"/>
      <c r="AG163" s="115"/>
      <c r="AH163" s="99"/>
      <c r="AI163" s="113"/>
      <c r="AJ163" s="113"/>
      <c r="AK163" s="114"/>
      <c r="AL163" s="99"/>
      <c r="AM163" s="99"/>
      <c r="AN163" s="99"/>
      <c r="AO163" s="113"/>
      <c r="AP163" s="113"/>
      <c r="AQ163" s="114"/>
      <c r="AR163" s="99"/>
      <c r="AS163" s="99"/>
      <c r="AT163" s="99"/>
      <c r="AU163" s="113"/>
      <c r="AV163" s="113"/>
      <c r="AW163" s="114"/>
      <c r="AX163" s="119">
        <v>62.5</v>
      </c>
      <c r="AY163" s="116">
        <v>69.565217391304344</v>
      </c>
      <c r="AZ163" s="117"/>
      <c r="BA163" s="116">
        <v>82.608695652173907</v>
      </c>
      <c r="BB163" s="117"/>
      <c r="BC163" s="118"/>
    </row>
    <row r="164" spans="1:55">
      <c r="A164" s="122" t="s">
        <v>463</v>
      </c>
      <c r="B164" s="106"/>
      <c r="C164" s="107"/>
      <c r="D164" s="107"/>
      <c r="E164" s="92"/>
      <c r="F164" s="107"/>
      <c r="G164" s="108"/>
      <c r="H164" s="109"/>
      <c r="I164" s="107"/>
      <c r="J164" s="107"/>
      <c r="K164" s="92"/>
      <c r="L164" s="107"/>
      <c r="M164" s="108"/>
      <c r="N164" s="109"/>
      <c r="O164" s="107"/>
      <c r="P164" s="107"/>
      <c r="Q164" s="110"/>
      <c r="R164" s="107"/>
      <c r="S164" s="108"/>
      <c r="T164" s="109"/>
      <c r="U164" s="107"/>
      <c r="V164" s="107"/>
      <c r="W164" s="110"/>
      <c r="X164" s="110"/>
      <c r="Y164" s="111"/>
      <c r="Z164" s="112"/>
      <c r="AA164" s="98"/>
      <c r="AB164" s="99"/>
      <c r="AC164" s="113"/>
      <c r="AD164" s="113"/>
      <c r="AE164" s="114"/>
      <c r="AF164" s="112"/>
      <c r="AG164" s="115"/>
      <c r="AH164" s="99"/>
      <c r="AI164" s="113"/>
      <c r="AJ164" s="113"/>
      <c r="AK164" s="114"/>
      <c r="AL164" s="99"/>
      <c r="AM164" s="99"/>
      <c r="AN164" s="99"/>
      <c r="AO164" s="113"/>
      <c r="AP164" s="113"/>
      <c r="AQ164" s="114"/>
      <c r="AR164" s="99"/>
      <c r="AS164" s="99"/>
      <c r="AT164" s="99"/>
      <c r="AU164" s="113"/>
      <c r="AV164" s="113"/>
      <c r="AW164" s="114"/>
      <c r="AX164" s="119">
        <v>61.53846153846154</v>
      </c>
      <c r="AY164" s="116">
        <v>55.555555555555557</v>
      </c>
      <c r="AZ164" s="117"/>
      <c r="BA164" s="116">
        <v>66.509433962264154</v>
      </c>
      <c r="BB164" s="117"/>
      <c r="BC164" s="118"/>
    </row>
    <row r="165" spans="1:55">
      <c r="A165" s="122" t="s">
        <v>464</v>
      </c>
      <c r="B165" s="106"/>
      <c r="C165" s="107"/>
      <c r="D165" s="107"/>
      <c r="E165" s="92"/>
      <c r="F165" s="107"/>
      <c r="G165" s="108"/>
      <c r="H165" s="109"/>
      <c r="I165" s="107"/>
      <c r="J165" s="107"/>
      <c r="K165" s="92"/>
      <c r="L165" s="107"/>
      <c r="M165" s="108"/>
      <c r="N165" s="109"/>
      <c r="O165" s="107"/>
      <c r="P165" s="107"/>
      <c r="Q165" s="110"/>
      <c r="R165" s="107"/>
      <c r="S165" s="108"/>
      <c r="T165" s="109"/>
      <c r="U165" s="107"/>
      <c r="V165" s="107"/>
      <c r="W165" s="110"/>
      <c r="X165" s="110"/>
      <c r="Y165" s="111"/>
      <c r="Z165" s="112"/>
      <c r="AA165" s="98"/>
      <c r="AB165" s="99"/>
      <c r="AC165" s="113"/>
      <c r="AD165" s="113"/>
      <c r="AE165" s="114"/>
      <c r="AF165" s="112"/>
      <c r="AG165" s="115"/>
      <c r="AH165" s="99"/>
      <c r="AI165" s="113"/>
      <c r="AJ165" s="113"/>
      <c r="AK165" s="114"/>
      <c r="AL165" s="99"/>
      <c r="AM165" s="99"/>
      <c r="AN165" s="99"/>
      <c r="AO165" s="113"/>
      <c r="AP165" s="113"/>
      <c r="AQ165" s="114"/>
      <c r="AR165" s="99"/>
      <c r="AS165" s="99"/>
      <c r="AT165" s="99"/>
      <c r="AU165" s="113"/>
      <c r="AV165" s="113"/>
      <c r="AW165" s="114"/>
      <c r="AX165" s="119">
        <v>61.36363636363636</v>
      </c>
      <c r="AY165" s="116">
        <v>55.952380952380949</v>
      </c>
      <c r="AZ165" s="117"/>
      <c r="BA165" s="116">
        <v>74.324324324324323</v>
      </c>
      <c r="BB165" s="117"/>
      <c r="BC165" s="118"/>
    </row>
    <row r="166" spans="1:55">
      <c r="A166" s="122" t="s">
        <v>465</v>
      </c>
      <c r="B166" s="106"/>
      <c r="C166" s="107"/>
      <c r="D166" s="107"/>
      <c r="E166" s="92"/>
      <c r="F166" s="107"/>
      <c r="G166" s="108"/>
      <c r="H166" s="109"/>
      <c r="I166" s="107"/>
      <c r="J166" s="107"/>
      <c r="K166" s="92"/>
      <c r="L166" s="107"/>
      <c r="M166" s="108"/>
      <c r="N166" s="109"/>
      <c r="O166" s="107"/>
      <c r="P166" s="107"/>
      <c r="Q166" s="110"/>
      <c r="R166" s="107"/>
      <c r="S166" s="108"/>
      <c r="T166" s="109"/>
      <c r="U166" s="107"/>
      <c r="V166" s="107"/>
      <c r="W166" s="110"/>
      <c r="X166" s="110"/>
      <c r="Y166" s="111"/>
      <c r="Z166" s="112"/>
      <c r="AA166" s="98"/>
      <c r="AB166" s="99"/>
      <c r="AC166" s="113"/>
      <c r="AD166" s="113"/>
      <c r="AE166" s="114"/>
      <c r="AF166" s="112"/>
      <c r="AG166" s="115"/>
      <c r="AH166" s="99"/>
      <c r="AI166" s="113"/>
      <c r="AJ166" s="113"/>
      <c r="AK166" s="114"/>
      <c r="AL166" s="99"/>
      <c r="AM166" s="99"/>
      <c r="AN166" s="99"/>
      <c r="AO166" s="113"/>
      <c r="AP166" s="113"/>
      <c r="AQ166" s="114"/>
      <c r="AR166" s="99"/>
      <c r="AS166" s="99"/>
      <c r="AT166" s="99"/>
      <c r="AU166" s="113"/>
      <c r="AV166" s="113"/>
      <c r="AW166" s="114"/>
      <c r="AX166" s="119">
        <v>58.333333333333336</v>
      </c>
      <c r="AY166" s="116">
        <v>78.260869565217391</v>
      </c>
      <c r="AZ166" s="117"/>
      <c r="BA166" s="116">
        <v>65.217391304347828</v>
      </c>
      <c r="BB166" s="117"/>
      <c r="BC166" s="118"/>
    </row>
    <row r="167" spans="1:55">
      <c r="A167" s="122" t="s">
        <v>466</v>
      </c>
      <c r="B167" s="106"/>
      <c r="C167" s="107"/>
      <c r="D167" s="107"/>
      <c r="E167" s="92"/>
      <c r="F167" s="107"/>
      <c r="G167" s="108"/>
      <c r="H167" s="109"/>
      <c r="I167" s="107"/>
      <c r="J167" s="107"/>
      <c r="K167" s="92"/>
      <c r="L167" s="107"/>
      <c r="M167" s="108"/>
      <c r="N167" s="109"/>
      <c r="O167" s="107"/>
      <c r="P167" s="107"/>
      <c r="Q167" s="110"/>
      <c r="R167" s="107"/>
      <c r="S167" s="108"/>
      <c r="T167" s="109"/>
      <c r="U167" s="107"/>
      <c r="V167" s="107"/>
      <c r="W167" s="110"/>
      <c r="X167" s="110"/>
      <c r="Y167" s="111"/>
      <c r="Z167" s="112"/>
      <c r="AA167" s="98"/>
      <c r="AB167" s="99"/>
      <c r="AC167" s="113"/>
      <c r="AD167" s="113"/>
      <c r="AE167" s="114"/>
      <c r="AF167" s="112"/>
      <c r="AG167" s="115"/>
      <c r="AH167" s="99"/>
      <c r="AI167" s="113"/>
      <c r="AJ167" s="113"/>
      <c r="AK167" s="114"/>
      <c r="AL167" s="99"/>
      <c r="AM167" s="99"/>
      <c r="AN167" s="99"/>
      <c r="AO167" s="113"/>
      <c r="AP167" s="113"/>
      <c r="AQ167" s="114"/>
      <c r="AR167" s="99"/>
      <c r="AS167" s="99"/>
      <c r="AT167" s="99"/>
      <c r="AU167" s="113"/>
      <c r="AV167" s="113"/>
      <c r="AW167" s="114"/>
      <c r="AX167" s="119">
        <v>47.297297297297298</v>
      </c>
      <c r="AY167" s="116">
        <v>57.882882882882882</v>
      </c>
      <c r="AZ167" s="117"/>
      <c r="BA167" s="116">
        <v>60.476190476190474</v>
      </c>
      <c r="BB167" s="117"/>
      <c r="BC167" s="118"/>
    </row>
    <row r="168" spans="1:55">
      <c r="A168" s="122" t="s">
        <v>467</v>
      </c>
      <c r="B168" s="106"/>
      <c r="C168" s="107"/>
      <c r="D168" s="107"/>
      <c r="E168" s="92"/>
      <c r="F168" s="107"/>
      <c r="G168" s="108"/>
      <c r="H168" s="109"/>
      <c r="I168" s="107"/>
      <c r="J168" s="107"/>
      <c r="K168" s="92"/>
      <c r="L168" s="107"/>
      <c r="M168" s="108"/>
      <c r="N168" s="109"/>
      <c r="O168" s="107"/>
      <c r="P168" s="107"/>
      <c r="Q168" s="110"/>
      <c r="R168" s="107"/>
      <c r="S168" s="108"/>
      <c r="T168" s="109"/>
      <c r="U168" s="107"/>
      <c r="V168" s="107"/>
      <c r="W168" s="110"/>
      <c r="X168" s="110"/>
      <c r="Y168" s="111"/>
      <c r="Z168" s="112"/>
      <c r="AA168" s="98"/>
      <c r="AB168" s="99"/>
      <c r="AC168" s="113"/>
      <c r="AD168" s="113"/>
      <c r="AE168" s="114"/>
      <c r="AF168" s="112"/>
      <c r="AG168" s="115"/>
      <c r="AH168" s="99"/>
      <c r="AI168" s="113"/>
      <c r="AJ168" s="113"/>
      <c r="AK168" s="114"/>
      <c r="AL168" s="99"/>
      <c r="AM168" s="99"/>
      <c r="AN168" s="99"/>
      <c r="AO168" s="113"/>
      <c r="AP168" s="113"/>
      <c r="AQ168" s="114"/>
      <c r="AR168" s="99"/>
      <c r="AS168" s="99"/>
      <c r="AT168" s="99"/>
      <c r="AU168" s="113"/>
      <c r="AV168" s="113"/>
      <c r="AW168" s="114"/>
      <c r="AX168" s="119">
        <v>45.454545454545453</v>
      </c>
      <c r="AY168" s="116">
        <v>65.909090909090907</v>
      </c>
      <c r="AZ168" s="117"/>
      <c r="BA168" s="116">
        <v>95.652173913043484</v>
      </c>
      <c r="BB168" s="117"/>
      <c r="BC168" s="118"/>
    </row>
    <row r="169" spans="1:55">
      <c r="A169" s="122" t="s">
        <v>468</v>
      </c>
      <c r="B169" s="106"/>
      <c r="C169" s="107"/>
      <c r="D169" s="107"/>
      <c r="E169" s="92"/>
      <c r="F169" s="107"/>
      <c r="G169" s="108"/>
      <c r="H169" s="109"/>
      <c r="I169" s="107"/>
      <c r="J169" s="107"/>
      <c r="K169" s="92"/>
      <c r="L169" s="107"/>
      <c r="M169" s="108"/>
      <c r="N169" s="109"/>
      <c r="O169" s="107"/>
      <c r="P169" s="107"/>
      <c r="Q169" s="110"/>
      <c r="R169" s="107"/>
      <c r="S169" s="108"/>
      <c r="T169" s="109"/>
      <c r="U169" s="107"/>
      <c r="V169" s="107"/>
      <c r="W169" s="110"/>
      <c r="X169" s="110"/>
      <c r="Y169" s="111"/>
      <c r="Z169" s="112"/>
      <c r="AA169" s="98"/>
      <c r="AB169" s="99"/>
      <c r="AC169" s="113"/>
      <c r="AD169" s="113"/>
      <c r="AE169" s="114"/>
      <c r="AF169" s="112"/>
      <c r="AG169" s="115"/>
      <c r="AH169" s="99"/>
      <c r="AI169" s="113"/>
      <c r="AJ169" s="113"/>
      <c r="AK169" s="114"/>
      <c r="AL169" s="99"/>
      <c r="AM169" s="99"/>
      <c r="AN169" s="99"/>
      <c r="AO169" s="113"/>
      <c r="AP169" s="113"/>
      <c r="AQ169" s="114"/>
      <c r="AR169" s="99"/>
      <c r="AS169" s="99"/>
      <c r="AT169" s="99"/>
      <c r="AU169" s="113"/>
      <c r="AV169" s="113"/>
      <c r="AW169" s="114"/>
      <c r="AX169" s="119">
        <v>38.636363636363633</v>
      </c>
      <c r="AY169" s="116">
        <v>75</v>
      </c>
      <c r="AZ169" s="117"/>
      <c r="BA169" s="116">
        <v>68.181818181818187</v>
      </c>
      <c r="BB169" s="117"/>
      <c r="BC169" s="118"/>
    </row>
    <row r="170" spans="1:55">
      <c r="A170" s="122" t="s">
        <v>469</v>
      </c>
      <c r="B170" s="109"/>
      <c r="C170" s="107"/>
      <c r="D170" s="107"/>
      <c r="E170" s="92"/>
      <c r="F170" s="107"/>
      <c r="G170" s="108"/>
      <c r="H170" s="109"/>
      <c r="I170" s="107"/>
      <c r="J170" s="107"/>
      <c r="K170" s="92"/>
      <c r="L170" s="107"/>
      <c r="M170" s="108"/>
      <c r="N170" s="109"/>
      <c r="O170" s="107"/>
      <c r="P170" s="107"/>
      <c r="Q170" s="110"/>
      <c r="R170" s="107"/>
      <c r="S170" s="108"/>
      <c r="T170" s="109"/>
      <c r="U170" s="107"/>
      <c r="V170" s="107"/>
      <c r="W170" s="110"/>
      <c r="X170" s="110"/>
      <c r="Y170" s="111"/>
      <c r="Z170" s="112"/>
      <c r="AA170" s="115"/>
      <c r="AB170" s="99"/>
      <c r="AC170" s="113"/>
      <c r="AD170" s="113"/>
      <c r="AE170" s="114"/>
      <c r="AF170" s="112"/>
      <c r="AG170" s="115"/>
      <c r="AH170" s="99"/>
      <c r="AI170" s="113"/>
      <c r="AJ170" s="113"/>
      <c r="AK170" s="114"/>
      <c r="AL170" s="99"/>
      <c r="AM170" s="99"/>
      <c r="AN170" s="99"/>
      <c r="AO170" s="113"/>
      <c r="AP170" s="113"/>
      <c r="AQ170" s="114"/>
      <c r="AR170" s="99"/>
      <c r="AS170" s="99"/>
      <c r="AT170" s="99"/>
      <c r="AU170" s="113"/>
      <c r="AV170" s="113"/>
      <c r="AW170" s="114"/>
      <c r="AX170" s="119"/>
      <c r="AY170" s="116">
        <v>49.056603773584904</v>
      </c>
      <c r="AZ170" s="120" t="s">
        <v>456</v>
      </c>
      <c r="BA170" s="116">
        <v>56.71641791044776</v>
      </c>
      <c r="BB170" s="117"/>
      <c r="BC170" s="118"/>
    </row>
    <row r="171" spans="1:55">
      <c r="A171" s="122" t="s">
        <v>470</v>
      </c>
      <c r="B171" s="109"/>
      <c r="C171" s="107"/>
      <c r="D171" s="107"/>
      <c r="E171" s="92"/>
      <c r="F171" s="107"/>
      <c r="G171" s="108"/>
      <c r="H171" s="109"/>
      <c r="I171" s="107"/>
      <c r="J171" s="107"/>
      <c r="K171" s="92"/>
      <c r="L171" s="107"/>
      <c r="M171" s="108"/>
      <c r="N171" s="109"/>
      <c r="O171" s="107"/>
      <c r="P171" s="107"/>
      <c r="Q171" s="110"/>
      <c r="R171" s="107"/>
      <c r="S171" s="108"/>
      <c r="T171" s="109"/>
      <c r="U171" s="107"/>
      <c r="V171" s="107"/>
      <c r="W171" s="110"/>
      <c r="X171" s="110"/>
      <c r="Y171" s="111"/>
      <c r="Z171" s="112"/>
      <c r="AA171" s="115"/>
      <c r="AB171" s="99"/>
      <c r="AC171" s="113"/>
      <c r="AD171" s="113"/>
      <c r="AE171" s="114"/>
      <c r="AF171" s="112"/>
      <c r="AG171" s="115"/>
      <c r="AH171" s="99"/>
      <c r="AI171" s="113"/>
      <c r="AJ171" s="113"/>
      <c r="AK171" s="114"/>
      <c r="AL171" s="99"/>
      <c r="AM171" s="99"/>
      <c r="AN171" s="99"/>
      <c r="AO171" s="113"/>
      <c r="AP171" s="113"/>
      <c r="AQ171" s="114"/>
      <c r="AR171" s="99"/>
      <c r="AS171" s="99"/>
      <c r="AT171" s="99"/>
      <c r="AU171" s="113"/>
      <c r="AV171" s="113"/>
      <c r="AW171" s="114"/>
      <c r="AX171" s="119"/>
      <c r="AY171" s="116">
        <v>69.406392694063925</v>
      </c>
      <c r="AZ171" s="117"/>
      <c r="BA171" s="116">
        <v>75.925925925925924</v>
      </c>
      <c r="BB171" s="117"/>
      <c r="BC171" s="118"/>
    </row>
    <row r="172" spans="1:55">
      <c r="A172" s="122" t="s">
        <v>627</v>
      </c>
      <c r="B172" s="106"/>
      <c r="C172" s="107">
        <v>94.871794871794876</v>
      </c>
      <c r="D172" s="107">
        <v>66.25</v>
      </c>
      <c r="E172" s="92"/>
      <c r="F172" s="107"/>
      <c r="G172" s="108"/>
      <c r="H172" s="109"/>
      <c r="I172" s="107">
        <v>94.871794871794876</v>
      </c>
      <c r="J172" s="107">
        <v>66.25</v>
      </c>
      <c r="K172" s="92"/>
      <c r="L172" s="107"/>
      <c r="M172" s="108"/>
      <c r="N172" s="109"/>
      <c r="O172" s="107"/>
      <c r="P172" s="107"/>
      <c r="Q172" s="110"/>
      <c r="R172" s="107"/>
      <c r="S172" s="108"/>
      <c r="T172" s="109"/>
      <c r="U172" s="107"/>
      <c r="V172" s="107"/>
      <c r="W172" s="110"/>
      <c r="X172" s="110"/>
      <c r="Y172" s="111"/>
      <c r="Z172" s="112"/>
      <c r="AA172" s="98"/>
      <c r="AB172" s="99"/>
      <c r="AC172" s="113"/>
      <c r="AD172" s="113"/>
      <c r="AE172" s="114"/>
      <c r="AF172" s="112"/>
      <c r="AG172" s="115"/>
      <c r="AH172" s="99"/>
      <c r="AI172" s="113"/>
      <c r="AJ172" s="113"/>
      <c r="AK172" s="114"/>
      <c r="AL172" s="99"/>
      <c r="AM172" s="99"/>
      <c r="AN172" s="99"/>
      <c r="AO172" s="113"/>
      <c r="AP172" s="113"/>
      <c r="AQ172" s="114"/>
      <c r="AR172" s="99"/>
      <c r="AS172" s="99"/>
      <c r="AT172" s="99"/>
      <c r="AU172" s="113"/>
      <c r="AV172" s="113"/>
      <c r="AW172" s="114"/>
      <c r="AX172" s="119"/>
      <c r="AY172" s="116"/>
      <c r="AZ172" s="117"/>
      <c r="BA172" s="116"/>
      <c r="BB172" s="117"/>
      <c r="BC172" s="118"/>
    </row>
    <row r="173" spans="1:55">
      <c r="A173" s="122" t="s">
        <v>628</v>
      </c>
      <c r="B173" s="106"/>
      <c r="C173" s="107">
        <v>92.5</v>
      </c>
      <c r="D173" s="107"/>
      <c r="E173" s="92"/>
      <c r="F173" s="107"/>
      <c r="G173" s="108"/>
      <c r="H173" s="109"/>
      <c r="I173" s="107"/>
      <c r="J173" s="107"/>
      <c r="K173" s="92"/>
      <c r="L173" s="107"/>
      <c r="M173" s="108"/>
      <c r="N173" s="109"/>
      <c r="O173" s="107">
        <v>92.5</v>
      </c>
      <c r="P173" s="107"/>
      <c r="Q173" s="110"/>
      <c r="R173" s="107"/>
      <c r="S173" s="108"/>
      <c r="T173" s="109"/>
      <c r="U173" s="107"/>
      <c r="V173" s="107"/>
      <c r="W173" s="110"/>
      <c r="X173" s="110"/>
      <c r="Y173" s="111"/>
      <c r="Z173" s="112"/>
      <c r="AA173" s="98"/>
      <c r="AB173" s="99"/>
      <c r="AC173" s="113"/>
      <c r="AD173" s="113"/>
      <c r="AE173" s="114"/>
      <c r="AF173" s="112"/>
      <c r="AG173" s="115"/>
      <c r="AH173" s="99"/>
      <c r="AI173" s="113"/>
      <c r="AJ173" s="113"/>
      <c r="AK173" s="114"/>
      <c r="AL173" s="99"/>
      <c r="AM173" s="99"/>
      <c r="AN173" s="99"/>
      <c r="AO173" s="113"/>
      <c r="AP173" s="113"/>
      <c r="AQ173" s="114"/>
      <c r="AR173" s="99"/>
      <c r="AS173" s="99"/>
      <c r="AT173" s="99"/>
      <c r="AU173" s="113"/>
      <c r="AV173" s="113"/>
      <c r="AW173" s="114"/>
      <c r="AX173" s="119"/>
      <c r="AY173" s="116"/>
      <c r="AZ173" s="117"/>
      <c r="BA173" s="116"/>
      <c r="BB173" s="117"/>
      <c r="BC173" s="118"/>
    </row>
    <row r="174" spans="1:55">
      <c r="A174" s="122" t="s">
        <v>629</v>
      </c>
      <c r="B174" s="106"/>
      <c r="C174" s="107">
        <v>92.307692307692307</v>
      </c>
      <c r="D174" s="107"/>
      <c r="E174" s="92"/>
      <c r="F174" s="107"/>
      <c r="G174" s="108"/>
      <c r="H174" s="109"/>
      <c r="I174" s="107"/>
      <c r="J174" s="107"/>
      <c r="K174" s="92"/>
      <c r="L174" s="107"/>
      <c r="M174" s="108"/>
      <c r="N174" s="109"/>
      <c r="O174" s="107"/>
      <c r="P174" s="107"/>
      <c r="Q174" s="110"/>
      <c r="R174" s="107"/>
      <c r="S174" s="108"/>
      <c r="T174" s="109"/>
      <c r="U174" s="107">
        <v>92.307692307692307</v>
      </c>
      <c r="V174" s="107"/>
      <c r="W174" s="110"/>
      <c r="X174" s="110"/>
      <c r="Y174" s="111"/>
      <c r="Z174" s="112"/>
      <c r="AA174" s="98"/>
      <c r="AB174" s="99"/>
      <c r="AC174" s="113"/>
      <c r="AD174" s="113"/>
      <c r="AE174" s="114"/>
      <c r="AF174" s="112"/>
      <c r="AG174" s="115"/>
      <c r="AH174" s="99"/>
      <c r="AI174" s="113"/>
      <c r="AJ174" s="113"/>
      <c r="AK174" s="114"/>
      <c r="AL174" s="99"/>
      <c r="AM174" s="99"/>
      <c r="AN174" s="99"/>
      <c r="AO174" s="113"/>
      <c r="AP174" s="113"/>
      <c r="AQ174" s="114"/>
      <c r="AR174" s="99"/>
      <c r="AS174" s="99"/>
      <c r="AT174" s="99"/>
      <c r="AU174" s="113"/>
      <c r="AV174" s="113"/>
      <c r="AW174" s="114"/>
      <c r="AX174" s="119"/>
      <c r="AY174" s="116"/>
      <c r="AZ174" s="117"/>
      <c r="BA174" s="116"/>
      <c r="BB174" s="117"/>
      <c r="BC174" s="118"/>
    </row>
    <row r="175" spans="1:55">
      <c r="A175" s="122" t="s">
        <v>630</v>
      </c>
      <c r="B175" s="106"/>
      <c r="C175" s="107">
        <v>87.5</v>
      </c>
      <c r="D175" s="107"/>
      <c r="E175" s="92"/>
      <c r="F175" s="107"/>
      <c r="G175" s="108"/>
      <c r="H175" s="109"/>
      <c r="I175" s="107"/>
      <c r="J175" s="107"/>
      <c r="K175" s="92"/>
      <c r="L175" s="107"/>
      <c r="M175" s="108"/>
      <c r="N175" s="109"/>
      <c r="O175" s="107">
        <v>87.5</v>
      </c>
      <c r="P175" s="107"/>
      <c r="Q175" s="110"/>
      <c r="R175" s="107"/>
      <c r="S175" s="108"/>
      <c r="T175" s="109"/>
      <c r="U175" s="107"/>
      <c r="V175" s="107"/>
      <c r="W175" s="110"/>
      <c r="X175" s="110"/>
      <c r="Y175" s="111"/>
      <c r="Z175" s="112"/>
      <c r="AA175" s="98"/>
      <c r="AB175" s="99"/>
      <c r="AC175" s="113"/>
      <c r="AD175" s="113"/>
      <c r="AE175" s="114"/>
      <c r="AF175" s="112"/>
      <c r="AG175" s="115"/>
      <c r="AH175" s="99"/>
      <c r="AI175" s="113"/>
      <c r="AJ175" s="113"/>
      <c r="AK175" s="114"/>
      <c r="AL175" s="99"/>
      <c r="AM175" s="99"/>
      <c r="AN175" s="99"/>
      <c r="AO175" s="113"/>
      <c r="AP175" s="113"/>
      <c r="AQ175" s="114"/>
      <c r="AR175" s="99"/>
      <c r="AS175" s="99"/>
      <c r="AT175" s="99"/>
      <c r="AU175" s="113"/>
      <c r="AV175" s="113"/>
      <c r="AW175" s="114"/>
      <c r="AX175" s="119"/>
      <c r="AY175" s="116"/>
      <c r="AZ175" s="117"/>
      <c r="BA175" s="116"/>
      <c r="BB175" s="117"/>
      <c r="BC175" s="118"/>
    </row>
    <row r="176" spans="1:55">
      <c r="A176" s="122" t="s">
        <v>631</v>
      </c>
      <c r="B176" s="106"/>
      <c r="C176" s="107">
        <v>78.378378378378372</v>
      </c>
      <c r="D176" s="107"/>
      <c r="E176" s="92"/>
      <c r="F176" s="107"/>
      <c r="G176" s="108"/>
      <c r="H176" s="109"/>
      <c r="I176" s="107"/>
      <c r="J176" s="107"/>
      <c r="K176" s="92"/>
      <c r="L176" s="107"/>
      <c r="M176" s="108"/>
      <c r="N176" s="109"/>
      <c r="O176" s="107">
        <v>78.378378378378372</v>
      </c>
      <c r="P176" s="107"/>
      <c r="Q176" s="110"/>
      <c r="R176" s="107"/>
      <c r="S176" s="108"/>
      <c r="T176" s="109"/>
      <c r="U176" s="107"/>
      <c r="V176" s="107"/>
      <c r="W176" s="110"/>
      <c r="X176" s="110"/>
      <c r="Y176" s="111"/>
      <c r="Z176" s="112"/>
      <c r="AA176" s="98"/>
      <c r="AB176" s="99"/>
      <c r="AC176" s="113"/>
      <c r="AD176" s="113"/>
      <c r="AE176" s="114"/>
      <c r="AF176" s="112"/>
      <c r="AG176" s="115"/>
      <c r="AH176" s="99"/>
      <c r="AI176" s="113"/>
      <c r="AJ176" s="113"/>
      <c r="AK176" s="114"/>
      <c r="AL176" s="99"/>
      <c r="AM176" s="99"/>
      <c r="AN176" s="99"/>
      <c r="AO176" s="113"/>
      <c r="AP176" s="113"/>
      <c r="AQ176" s="114"/>
      <c r="AR176" s="99"/>
      <c r="AS176" s="99"/>
      <c r="AT176" s="99"/>
      <c r="AU176" s="113"/>
      <c r="AV176" s="113"/>
      <c r="AW176" s="114"/>
      <c r="AX176" s="119"/>
      <c r="AY176" s="116"/>
      <c r="AZ176" s="117"/>
      <c r="BA176" s="116"/>
      <c r="BB176" s="117"/>
      <c r="BC176" s="118"/>
    </row>
    <row r="177" spans="1:55">
      <c r="A177" s="122" t="s">
        <v>632</v>
      </c>
      <c r="B177" s="106"/>
      <c r="C177" s="107">
        <v>73.780487804878049</v>
      </c>
      <c r="D177" s="107"/>
      <c r="E177" s="92"/>
      <c r="F177" s="107"/>
      <c r="G177" s="108"/>
      <c r="H177" s="109"/>
      <c r="I177" s="107"/>
      <c r="J177" s="107"/>
      <c r="K177" s="92"/>
      <c r="L177" s="107"/>
      <c r="M177" s="108"/>
      <c r="N177" s="109"/>
      <c r="O177" s="107"/>
      <c r="P177" s="107"/>
      <c r="Q177" s="110"/>
      <c r="R177" s="107"/>
      <c r="S177" s="108"/>
      <c r="T177" s="109"/>
      <c r="U177" s="107">
        <v>73.780487804878049</v>
      </c>
      <c r="V177" s="107"/>
      <c r="W177" s="110"/>
      <c r="X177" s="110"/>
      <c r="Y177" s="111"/>
      <c r="Z177" s="112"/>
      <c r="AA177" s="98"/>
      <c r="AB177" s="99"/>
      <c r="AC177" s="113"/>
      <c r="AD177" s="113"/>
      <c r="AE177" s="114"/>
      <c r="AF177" s="112"/>
      <c r="AG177" s="115"/>
      <c r="AH177" s="99"/>
      <c r="AI177" s="113"/>
      <c r="AJ177" s="113"/>
      <c r="AK177" s="114"/>
      <c r="AL177" s="99"/>
      <c r="AM177" s="99"/>
      <c r="AN177" s="99"/>
      <c r="AO177" s="113"/>
      <c r="AP177" s="113"/>
      <c r="AQ177" s="114"/>
      <c r="AR177" s="99"/>
      <c r="AS177" s="99"/>
      <c r="AT177" s="99"/>
      <c r="AU177" s="113"/>
      <c r="AV177" s="113"/>
      <c r="AW177" s="114"/>
      <c r="AX177" s="119"/>
      <c r="AY177" s="116"/>
      <c r="AZ177" s="117"/>
      <c r="BA177" s="116"/>
      <c r="BB177" s="117"/>
      <c r="BC177" s="118"/>
    </row>
    <row r="178" spans="1:55">
      <c r="A178" s="122" t="s">
        <v>633</v>
      </c>
      <c r="B178" s="106"/>
      <c r="C178" s="107">
        <v>56.756756756756758</v>
      </c>
      <c r="D178" s="107"/>
      <c r="E178" s="92"/>
      <c r="F178" s="107"/>
      <c r="G178" s="108"/>
      <c r="H178" s="109"/>
      <c r="I178" s="107"/>
      <c r="J178" s="107"/>
      <c r="K178" s="92"/>
      <c r="L178" s="107"/>
      <c r="M178" s="108"/>
      <c r="N178" s="109"/>
      <c r="O178" s="107">
        <v>56.756756756756758</v>
      </c>
      <c r="P178" s="107"/>
      <c r="Q178" s="110"/>
      <c r="R178" s="107"/>
      <c r="S178" s="108"/>
      <c r="T178" s="109"/>
      <c r="U178" s="107"/>
      <c r="V178" s="107"/>
      <c r="W178" s="110"/>
      <c r="X178" s="110"/>
      <c r="Y178" s="111"/>
      <c r="Z178" s="112"/>
      <c r="AA178" s="98"/>
      <c r="AB178" s="99"/>
      <c r="AC178" s="113"/>
      <c r="AD178" s="113"/>
      <c r="AE178" s="114"/>
      <c r="AF178" s="112"/>
      <c r="AG178" s="115"/>
      <c r="AH178" s="99"/>
      <c r="AI178" s="113"/>
      <c r="AJ178" s="113"/>
      <c r="AK178" s="114"/>
      <c r="AL178" s="99"/>
      <c r="AM178" s="99"/>
      <c r="AN178" s="99"/>
      <c r="AO178" s="113"/>
      <c r="AP178" s="113"/>
      <c r="AQ178" s="114"/>
      <c r="AR178" s="99"/>
      <c r="AS178" s="99"/>
      <c r="AT178" s="99"/>
      <c r="AU178" s="113"/>
      <c r="AV178" s="113"/>
      <c r="AW178" s="114"/>
      <c r="AX178" s="119"/>
      <c r="AY178" s="116"/>
      <c r="AZ178" s="117"/>
      <c r="BA178" s="116"/>
      <c r="BB178" s="117"/>
      <c r="BC178" s="118"/>
    </row>
    <row r="179" spans="1:55">
      <c r="A179" s="122" t="s">
        <v>634</v>
      </c>
      <c r="B179" s="106"/>
      <c r="C179" s="107">
        <v>52.702702702702702</v>
      </c>
      <c r="D179" s="107">
        <v>51.388888888888886</v>
      </c>
      <c r="E179" s="92">
        <v>59.090909090909093</v>
      </c>
      <c r="F179" s="107"/>
      <c r="G179" s="108"/>
      <c r="H179" s="109"/>
      <c r="I179" s="107">
        <v>52.702702702702702</v>
      </c>
      <c r="J179" s="107">
        <v>51.388888888888886</v>
      </c>
      <c r="K179" s="92">
        <v>59.090909090909093</v>
      </c>
      <c r="L179" s="107"/>
      <c r="M179" s="108"/>
      <c r="N179" s="109"/>
      <c r="O179" s="107"/>
      <c r="P179" s="107"/>
      <c r="Q179" s="110"/>
      <c r="R179" s="107"/>
      <c r="S179" s="108"/>
      <c r="T179" s="109"/>
      <c r="U179" s="107"/>
      <c r="V179" s="107"/>
      <c r="W179" s="110"/>
      <c r="X179" s="110"/>
      <c r="Y179" s="111"/>
      <c r="Z179" s="112"/>
      <c r="AA179" s="98"/>
      <c r="AB179" s="99"/>
      <c r="AC179" s="113"/>
      <c r="AD179" s="113"/>
      <c r="AE179" s="114"/>
      <c r="AF179" s="112"/>
      <c r="AG179" s="115"/>
      <c r="AH179" s="99"/>
      <c r="AI179" s="113"/>
      <c r="AJ179" s="113"/>
      <c r="AK179" s="114"/>
      <c r="AL179" s="99"/>
      <c r="AM179" s="99"/>
      <c r="AN179" s="99"/>
      <c r="AO179" s="113"/>
      <c r="AP179" s="113"/>
      <c r="AQ179" s="114"/>
      <c r="AR179" s="99"/>
      <c r="AS179" s="99"/>
      <c r="AT179" s="99"/>
      <c r="AU179" s="113"/>
      <c r="AV179" s="113"/>
      <c r="AW179" s="114"/>
      <c r="AX179" s="119"/>
      <c r="AY179" s="116"/>
      <c r="AZ179" s="117"/>
      <c r="BA179" s="116"/>
      <c r="BB179" s="117"/>
      <c r="BC179" s="118"/>
    </row>
    <row r="180" spans="1:55">
      <c r="A180" s="122" t="s">
        <v>635</v>
      </c>
      <c r="B180" s="106"/>
      <c r="C180" s="107">
        <v>50</v>
      </c>
      <c r="D180" s="107">
        <v>63.157894736842103</v>
      </c>
      <c r="E180" s="92">
        <v>90.277777777777771</v>
      </c>
      <c r="F180" s="107"/>
      <c r="G180" s="108"/>
      <c r="H180" s="109"/>
      <c r="I180" s="107">
        <v>50</v>
      </c>
      <c r="J180" s="107">
        <v>63.157894736842103</v>
      </c>
      <c r="K180" s="92">
        <v>90.277777777777771</v>
      </c>
      <c r="L180" s="107"/>
      <c r="M180" s="108"/>
      <c r="N180" s="109"/>
      <c r="O180" s="107"/>
      <c r="P180" s="107"/>
      <c r="Q180" s="110"/>
      <c r="R180" s="107"/>
      <c r="S180" s="108"/>
      <c r="T180" s="109"/>
      <c r="U180" s="107"/>
      <c r="V180" s="107"/>
      <c r="W180" s="110"/>
      <c r="X180" s="110"/>
      <c r="Y180" s="111"/>
      <c r="Z180" s="112"/>
      <c r="AA180" s="98">
        <v>0</v>
      </c>
      <c r="AB180" s="99"/>
      <c r="AC180" s="113"/>
      <c r="AD180" s="113"/>
      <c r="AE180" s="114"/>
      <c r="AF180" s="112"/>
      <c r="AG180" s="115">
        <v>0</v>
      </c>
      <c r="AH180" s="99"/>
      <c r="AI180" s="113"/>
      <c r="AJ180" s="113"/>
      <c r="AK180" s="114"/>
      <c r="AL180" s="99"/>
      <c r="AM180" s="99"/>
      <c r="AN180" s="99"/>
      <c r="AO180" s="113"/>
      <c r="AP180" s="113"/>
      <c r="AQ180" s="114"/>
      <c r="AR180" s="99"/>
      <c r="AS180" s="99"/>
      <c r="AT180" s="99"/>
      <c r="AU180" s="113"/>
      <c r="AV180" s="113"/>
      <c r="AW180" s="114"/>
      <c r="AX180" s="119"/>
      <c r="AY180" s="116"/>
      <c r="AZ180" s="117"/>
      <c r="BA180" s="116"/>
      <c r="BB180" s="117"/>
      <c r="BC180" s="118"/>
    </row>
    <row r="181" spans="1:55">
      <c r="A181" s="122" t="s">
        <v>636</v>
      </c>
      <c r="B181" s="106"/>
      <c r="C181" s="107">
        <v>43.90243902439024</v>
      </c>
      <c r="D181" s="107"/>
      <c r="E181" s="92"/>
      <c r="F181" s="107"/>
      <c r="G181" s="108"/>
      <c r="H181" s="109"/>
      <c r="I181" s="107"/>
      <c r="J181" s="107"/>
      <c r="K181" s="92"/>
      <c r="L181" s="107"/>
      <c r="M181" s="108"/>
      <c r="N181" s="109"/>
      <c r="O181" s="107"/>
      <c r="P181" s="107"/>
      <c r="Q181" s="110"/>
      <c r="R181" s="107"/>
      <c r="S181" s="108"/>
      <c r="T181" s="109"/>
      <c r="U181" s="107">
        <v>43.90243902439024</v>
      </c>
      <c r="V181" s="107"/>
      <c r="W181" s="110"/>
      <c r="X181" s="110"/>
      <c r="Y181" s="111"/>
      <c r="Z181" s="112"/>
      <c r="AA181" s="98"/>
      <c r="AB181" s="99"/>
      <c r="AC181" s="113"/>
      <c r="AD181" s="113"/>
      <c r="AE181" s="114"/>
      <c r="AF181" s="112"/>
      <c r="AG181" s="115"/>
      <c r="AH181" s="99"/>
      <c r="AI181" s="113"/>
      <c r="AJ181" s="113"/>
      <c r="AK181" s="114"/>
      <c r="AL181" s="99"/>
      <c r="AM181" s="99"/>
      <c r="AN181" s="99"/>
      <c r="AO181" s="113"/>
      <c r="AP181" s="113"/>
      <c r="AQ181" s="114"/>
      <c r="AR181" s="99"/>
      <c r="AS181" s="99"/>
      <c r="AT181" s="99"/>
      <c r="AU181" s="113"/>
      <c r="AV181" s="113"/>
      <c r="AW181" s="114"/>
      <c r="AX181" s="119"/>
      <c r="AY181" s="116"/>
      <c r="AZ181" s="117"/>
      <c r="BA181" s="116"/>
      <c r="BB181" s="117"/>
      <c r="BC181" s="118"/>
    </row>
    <row r="182" spans="1:55">
      <c r="A182" s="122" t="s">
        <v>637</v>
      </c>
      <c r="B182" s="106"/>
      <c r="C182" s="107">
        <v>42.647058823529413</v>
      </c>
      <c r="D182" s="107"/>
      <c r="E182" s="92"/>
      <c r="F182" s="107"/>
      <c r="G182" s="108"/>
      <c r="H182" s="109"/>
      <c r="I182" s="107"/>
      <c r="J182" s="107"/>
      <c r="K182" s="92"/>
      <c r="L182" s="107"/>
      <c r="M182" s="108"/>
      <c r="N182" s="109"/>
      <c r="O182" s="107">
        <v>42.647058823529413</v>
      </c>
      <c r="P182" s="107"/>
      <c r="Q182" s="110"/>
      <c r="R182" s="107"/>
      <c r="S182" s="108"/>
      <c r="T182" s="109"/>
      <c r="U182" s="107"/>
      <c r="V182" s="107"/>
      <c r="W182" s="110"/>
      <c r="X182" s="110"/>
      <c r="Y182" s="111"/>
      <c r="Z182" s="112"/>
      <c r="AA182" s="98"/>
      <c r="AB182" s="99"/>
      <c r="AC182" s="113"/>
      <c r="AD182" s="113"/>
      <c r="AE182" s="114"/>
      <c r="AF182" s="112"/>
      <c r="AG182" s="115"/>
      <c r="AH182" s="99"/>
      <c r="AI182" s="113"/>
      <c r="AJ182" s="113"/>
      <c r="AK182" s="114"/>
      <c r="AL182" s="99"/>
      <c r="AM182" s="99"/>
      <c r="AN182" s="99"/>
      <c r="AO182" s="113"/>
      <c r="AP182" s="113"/>
      <c r="AQ182" s="114"/>
      <c r="AR182" s="99"/>
      <c r="AS182" s="99"/>
      <c r="AT182" s="99"/>
      <c r="AU182" s="113"/>
      <c r="AV182" s="113"/>
      <c r="AW182" s="114"/>
      <c r="AX182" s="119"/>
      <c r="AY182" s="116"/>
      <c r="AZ182" s="117"/>
      <c r="BA182" s="116"/>
      <c r="BB182" s="117"/>
      <c r="BC182" s="118"/>
    </row>
    <row r="183" spans="1:55">
      <c r="A183" s="122" t="s">
        <v>638</v>
      </c>
      <c r="B183" s="106"/>
      <c r="C183" s="107">
        <v>40.909090909090907</v>
      </c>
      <c r="D183" s="107"/>
      <c r="E183" s="92"/>
      <c r="F183" s="107"/>
      <c r="G183" s="108"/>
      <c r="H183" s="109"/>
      <c r="I183" s="107"/>
      <c r="J183" s="107"/>
      <c r="K183" s="92"/>
      <c r="L183" s="107"/>
      <c r="M183" s="108"/>
      <c r="N183" s="109"/>
      <c r="O183" s="107">
        <v>40.909090909090907</v>
      </c>
      <c r="P183" s="107"/>
      <c r="Q183" s="110"/>
      <c r="R183" s="107"/>
      <c r="S183" s="108"/>
      <c r="T183" s="109"/>
      <c r="U183" s="107"/>
      <c r="V183" s="107"/>
      <c r="W183" s="110"/>
      <c r="X183" s="110"/>
      <c r="Y183" s="111"/>
      <c r="Z183" s="112"/>
      <c r="AA183" s="98"/>
      <c r="AB183" s="99"/>
      <c r="AC183" s="113"/>
      <c r="AD183" s="113"/>
      <c r="AE183" s="114"/>
      <c r="AF183" s="112"/>
      <c r="AG183" s="115"/>
      <c r="AH183" s="99"/>
      <c r="AI183" s="113"/>
      <c r="AJ183" s="113"/>
      <c r="AK183" s="114"/>
      <c r="AL183" s="99"/>
      <c r="AM183" s="99"/>
      <c r="AN183" s="99"/>
      <c r="AO183" s="113"/>
      <c r="AP183" s="113"/>
      <c r="AQ183" s="114"/>
      <c r="AR183" s="99"/>
      <c r="AS183" s="99"/>
      <c r="AT183" s="99"/>
      <c r="AU183" s="113"/>
      <c r="AV183" s="113"/>
      <c r="AW183" s="114"/>
      <c r="AX183" s="119"/>
      <c r="AY183" s="116"/>
      <c r="AZ183" s="117"/>
      <c r="BA183" s="116"/>
      <c r="BB183" s="117"/>
      <c r="BC183" s="118"/>
    </row>
    <row r="184" spans="1:55">
      <c r="A184" s="122" t="s">
        <v>639</v>
      </c>
      <c r="B184" s="106"/>
      <c r="C184" s="107">
        <v>37.857142857142854</v>
      </c>
      <c r="D184" s="107"/>
      <c r="E184" s="92"/>
      <c r="F184" s="107"/>
      <c r="G184" s="108"/>
      <c r="H184" s="109"/>
      <c r="I184" s="107"/>
      <c r="J184" s="107"/>
      <c r="K184" s="92"/>
      <c r="L184" s="107"/>
      <c r="M184" s="108"/>
      <c r="N184" s="109"/>
      <c r="O184" s="107">
        <v>37.857142857142854</v>
      </c>
      <c r="P184" s="107"/>
      <c r="Q184" s="95"/>
      <c r="R184" s="107"/>
      <c r="S184" s="108"/>
      <c r="T184" s="109"/>
      <c r="U184" s="107"/>
      <c r="V184" s="107"/>
      <c r="W184" s="110"/>
      <c r="X184" s="110"/>
      <c r="Y184" s="111"/>
      <c r="Z184" s="112"/>
      <c r="AA184" s="98"/>
      <c r="AB184" s="99"/>
      <c r="AC184" s="113"/>
      <c r="AD184" s="113"/>
      <c r="AE184" s="114"/>
      <c r="AF184" s="112"/>
      <c r="AG184" s="115"/>
      <c r="AH184" s="99"/>
      <c r="AI184" s="113"/>
      <c r="AJ184" s="113"/>
      <c r="AK184" s="114"/>
      <c r="AL184" s="99"/>
      <c r="AM184" s="99"/>
      <c r="AN184" s="99"/>
      <c r="AO184" s="113"/>
      <c r="AP184" s="113"/>
      <c r="AQ184" s="114"/>
      <c r="AR184" s="99"/>
      <c r="AS184" s="99"/>
      <c r="AT184" s="99"/>
      <c r="AU184" s="113"/>
      <c r="AV184" s="113"/>
      <c r="AW184" s="114"/>
      <c r="AX184" s="119"/>
      <c r="AY184" s="116"/>
      <c r="AZ184" s="117"/>
      <c r="BA184" s="116"/>
      <c r="BB184" s="117"/>
      <c r="BC184" s="118"/>
    </row>
    <row r="185" spans="1:55">
      <c r="A185" s="122" t="s">
        <v>640</v>
      </c>
      <c r="B185" s="106"/>
      <c r="C185" s="107">
        <v>21.621621621621621</v>
      </c>
      <c r="D185" s="107"/>
      <c r="E185" s="92"/>
      <c r="F185" s="107"/>
      <c r="G185" s="108"/>
      <c r="H185" s="109"/>
      <c r="I185" s="107"/>
      <c r="J185" s="107"/>
      <c r="K185" s="92"/>
      <c r="L185" s="107"/>
      <c r="M185" s="108"/>
      <c r="N185" s="109"/>
      <c r="O185" s="107"/>
      <c r="P185" s="107"/>
      <c r="Q185" s="95"/>
      <c r="R185" s="107"/>
      <c r="S185" s="108"/>
      <c r="T185" s="109"/>
      <c r="U185" s="107">
        <v>21.621621621621621</v>
      </c>
      <c r="V185" s="107"/>
      <c r="W185" s="110"/>
      <c r="X185" s="110"/>
      <c r="Y185" s="111"/>
      <c r="Z185" s="112"/>
      <c r="AA185" s="98"/>
      <c r="AB185" s="99"/>
      <c r="AC185" s="113"/>
      <c r="AD185" s="113"/>
      <c r="AE185" s="114"/>
      <c r="AF185" s="112"/>
      <c r="AG185" s="115"/>
      <c r="AH185" s="99"/>
      <c r="AI185" s="113"/>
      <c r="AJ185" s="113"/>
      <c r="AK185" s="114"/>
      <c r="AL185" s="99"/>
      <c r="AM185" s="99"/>
      <c r="AN185" s="99"/>
      <c r="AO185" s="113"/>
      <c r="AP185" s="113"/>
      <c r="AQ185" s="114"/>
      <c r="AR185" s="99"/>
      <c r="AS185" s="99"/>
      <c r="AT185" s="99"/>
      <c r="AU185" s="113"/>
      <c r="AV185" s="113"/>
      <c r="AW185" s="114"/>
      <c r="AX185" s="119"/>
      <c r="AY185" s="116"/>
      <c r="AZ185" s="117"/>
      <c r="BA185" s="116"/>
      <c r="BB185" s="117"/>
      <c r="BC185" s="118"/>
    </row>
    <row r="186" spans="1:55">
      <c r="A186" s="122" t="s">
        <v>641</v>
      </c>
      <c r="B186" s="106"/>
      <c r="C186" s="107">
        <v>21.212121212121211</v>
      </c>
      <c r="D186" s="107"/>
      <c r="E186" s="92"/>
      <c r="F186" s="107"/>
      <c r="G186" s="108"/>
      <c r="H186" s="109"/>
      <c r="I186" s="107"/>
      <c r="J186" s="107"/>
      <c r="K186" s="92"/>
      <c r="L186" s="107"/>
      <c r="M186" s="108"/>
      <c r="N186" s="109"/>
      <c r="O186" s="107"/>
      <c r="P186" s="107"/>
      <c r="Q186" s="95"/>
      <c r="R186" s="107"/>
      <c r="S186" s="108"/>
      <c r="T186" s="109"/>
      <c r="U186" s="107">
        <v>21.212121212121211</v>
      </c>
      <c r="V186" s="107"/>
      <c r="W186" s="95"/>
      <c r="X186" s="95"/>
      <c r="Y186" s="96"/>
      <c r="Z186" s="112"/>
      <c r="AA186" s="98"/>
      <c r="AB186" s="99"/>
      <c r="AC186" s="99"/>
      <c r="AD186" s="99"/>
      <c r="AE186" s="100"/>
      <c r="AF186" s="112"/>
      <c r="AG186" s="115"/>
      <c r="AH186" s="99"/>
      <c r="AI186" s="99"/>
      <c r="AJ186" s="99"/>
      <c r="AK186" s="100"/>
      <c r="AL186" s="99"/>
      <c r="AM186" s="99"/>
      <c r="AN186" s="99"/>
      <c r="AO186" s="99"/>
      <c r="AP186" s="99"/>
      <c r="AQ186" s="100"/>
      <c r="AR186" s="99"/>
      <c r="AS186" s="99"/>
      <c r="AT186" s="99"/>
      <c r="AU186" s="99"/>
      <c r="AV186" s="99"/>
      <c r="AW186" s="100"/>
      <c r="AX186" s="119"/>
      <c r="AY186" s="116"/>
      <c r="AZ186" s="103"/>
      <c r="BA186" s="116"/>
      <c r="BB186" s="103"/>
      <c r="BC186" s="118"/>
    </row>
  </sheetData>
  <autoFilter ref="A1:BC1" xr:uid="{EB28DE9E-CD4D-41D9-A7D8-D55E6900E1C1}"/>
  <sortState xmlns:xlrd2="http://schemas.microsoft.com/office/spreadsheetml/2017/richdata2" ref="A2:A45">
    <sortCondition ref="A2:A4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tabColor rgb="FFFF0000"/>
  </sheetPr>
  <dimension ref="A1:D625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11.42578125" defaultRowHeight="15"/>
  <cols>
    <col min="2" max="3" width="26.140625" customWidth="1"/>
    <col min="4" max="4" width="72" customWidth="1"/>
  </cols>
  <sheetData>
    <row r="1" spans="1:4">
      <c r="A1" t="s">
        <v>7</v>
      </c>
      <c r="B1" t="s">
        <v>5</v>
      </c>
      <c r="C1" t="s">
        <v>9</v>
      </c>
      <c r="D1" t="s">
        <v>6</v>
      </c>
    </row>
    <row r="2" spans="1:4">
      <c r="D2" s="15"/>
    </row>
    <row r="3" spans="1:4">
      <c r="D3" s="36"/>
    </row>
    <row r="4" spans="1:4">
      <c r="D4" s="36"/>
    </row>
    <row r="5" spans="1:4">
      <c r="D5" s="36"/>
    </row>
    <row r="6" spans="1:4">
      <c r="D6" s="15"/>
    </row>
    <row r="7" spans="1:4">
      <c r="D7" s="36"/>
    </row>
    <row r="8" spans="1:4">
      <c r="D8" s="15"/>
    </row>
    <row r="9" spans="1:4">
      <c r="D9" s="36"/>
    </row>
    <row r="10" spans="1:4">
      <c r="D10" s="15"/>
    </row>
    <row r="11" spans="1:4">
      <c r="D11" s="36"/>
    </row>
    <row r="12" spans="1:4">
      <c r="D12" s="15"/>
    </row>
    <row r="13" spans="1:4">
      <c r="D13" s="36"/>
    </row>
    <row r="14" spans="1:4">
      <c r="D14" s="15"/>
    </row>
    <row r="15" spans="1:4">
      <c r="D15" s="36"/>
    </row>
    <row r="16" spans="1:4">
      <c r="D16" s="15"/>
    </row>
    <row r="17" spans="4:4">
      <c r="D17" s="36"/>
    </row>
    <row r="18" spans="4:4">
      <c r="D18" s="15"/>
    </row>
    <row r="19" spans="4:4">
      <c r="D19" s="36"/>
    </row>
    <row r="20" spans="4:4">
      <c r="D20" s="15"/>
    </row>
    <row r="21" spans="4:4">
      <c r="D21" s="36"/>
    </row>
    <row r="22" spans="4:4">
      <c r="D22" s="15"/>
    </row>
    <row r="23" spans="4:4">
      <c r="D23" s="36"/>
    </row>
    <row r="24" spans="4:4">
      <c r="D24" s="15"/>
    </row>
    <row r="25" spans="4:4">
      <c r="D25" s="36"/>
    </row>
    <row r="26" spans="4:4">
      <c r="D26" s="15"/>
    </row>
    <row r="27" spans="4:4">
      <c r="D27" s="36"/>
    </row>
    <row r="28" spans="4:4">
      <c r="D28" s="15"/>
    </row>
    <row r="29" spans="4:4">
      <c r="D29" s="36"/>
    </row>
    <row r="30" spans="4:4">
      <c r="D30" s="15"/>
    </row>
    <row r="31" spans="4:4">
      <c r="D31" s="36"/>
    </row>
    <row r="32" spans="4:4">
      <c r="D32" s="15"/>
    </row>
    <row r="33" spans="4:4">
      <c r="D33" s="36"/>
    </row>
    <row r="34" spans="4:4">
      <c r="D34" s="15"/>
    </row>
    <row r="35" spans="4:4">
      <c r="D35" s="36"/>
    </row>
    <row r="36" spans="4:4">
      <c r="D36" s="15"/>
    </row>
    <row r="37" spans="4:4">
      <c r="D37" s="36"/>
    </row>
    <row r="38" spans="4:4">
      <c r="D38" s="15"/>
    </row>
    <row r="39" spans="4:4">
      <c r="D39" s="36"/>
    </row>
    <row r="40" spans="4:4">
      <c r="D40" s="15"/>
    </row>
    <row r="41" spans="4:4">
      <c r="D41" s="36"/>
    </row>
    <row r="42" spans="4:4">
      <c r="D42" s="15"/>
    </row>
    <row r="43" spans="4:4">
      <c r="D43" s="36"/>
    </row>
    <row r="44" spans="4:4">
      <c r="D44" s="15"/>
    </row>
    <row r="45" spans="4:4">
      <c r="D45" s="36"/>
    </row>
    <row r="46" spans="4:4">
      <c r="D46" s="15"/>
    </row>
    <row r="47" spans="4:4">
      <c r="D47" s="36"/>
    </row>
    <row r="48" spans="4:4">
      <c r="D48" s="15"/>
    </row>
    <row r="49" spans="4:4">
      <c r="D49" s="36"/>
    </row>
    <row r="50" spans="4:4">
      <c r="D50" s="15"/>
    </row>
    <row r="51" spans="4:4">
      <c r="D51" s="36"/>
    </row>
    <row r="52" spans="4:4">
      <c r="D52" s="15"/>
    </row>
    <row r="53" spans="4:4">
      <c r="D53" s="36"/>
    </row>
    <row r="54" spans="4:4">
      <c r="D54" s="15"/>
    </row>
    <row r="55" spans="4:4">
      <c r="D55" s="36"/>
    </row>
    <row r="56" spans="4:4">
      <c r="D56" s="15"/>
    </row>
    <row r="57" spans="4:4">
      <c r="D57" s="36"/>
    </row>
    <row r="58" spans="4:4">
      <c r="D58" s="15"/>
    </row>
    <row r="59" spans="4:4">
      <c r="D59" s="36"/>
    </row>
    <row r="60" spans="4:4">
      <c r="D60" s="15"/>
    </row>
    <row r="61" spans="4:4">
      <c r="D61" s="36"/>
    </row>
    <row r="62" spans="4:4">
      <c r="D62" s="15"/>
    </row>
    <row r="63" spans="4:4">
      <c r="D63" s="36"/>
    </row>
    <row r="64" spans="4:4">
      <c r="D64" s="15"/>
    </row>
    <row r="65" spans="4:4">
      <c r="D65" s="36"/>
    </row>
    <row r="66" spans="4:4">
      <c r="D66" s="15"/>
    </row>
    <row r="67" spans="4:4">
      <c r="D67" s="36"/>
    </row>
    <row r="68" spans="4:4">
      <c r="D68" s="15"/>
    </row>
    <row r="69" spans="4:4">
      <c r="D69" s="36"/>
    </row>
    <row r="70" spans="4:4">
      <c r="D70" s="15"/>
    </row>
    <row r="71" spans="4:4">
      <c r="D71" s="36"/>
    </row>
    <row r="72" spans="4:4">
      <c r="D72" s="15"/>
    </row>
    <row r="73" spans="4:4">
      <c r="D73" s="36"/>
    </row>
    <row r="74" spans="4:4">
      <c r="D74" s="15"/>
    </row>
    <row r="75" spans="4:4">
      <c r="D75" s="36"/>
    </row>
    <row r="76" spans="4:4">
      <c r="D76" s="15"/>
    </row>
    <row r="77" spans="4:4">
      <c r="D77" s="36"/>
    </row>
    <row r="78" spans="4:4">
      <c r="D78" s="15"/>
    </row>
    <row r="79" spans="4:4">
      <c r="D79" s="36"/>
    </row>
    <row r="80" spans="4:4">
      <c r="D80" s="15"/>
    </row>
    <row r="81" spans="4:4">
      <c r="D81" s="36"/>
    </row>
    <row r="82" spans="4:4">
      <c r="D82" s="15"/>
    </row>
    <row r="83" spans="4:4">
      <c r="D83" s="36"/>
    </row>
    <row r="84" spans="4:4">
      <c r="D84" s="15"/>
    </row>
    <row r="85" spans="4:4">
      <c r="D85" s="36"/>
    </row>
    <row r="86" spans="4:4">
      <c r="D86" s="15"/>
    </row>
    <row r="87" spans="4:4">
      <c r="D87" s="36"/>
    </row>
    <row r="88" spans="4:4">
      <c r="D88" s="15"/>
    </row>
    <row r="89" spans="4:4">
      <c r="D89" s="36"/>
    </row>
    <row r="90" spans="4:4">
      <c r="D90" s="15"/>
    </row>
    <row r="91" spans="4:4">
      <c r="D91" s="36"/>
    </row>
    <row r="92" spans="4:4">
      <c r="D92" s="15"/>
    </row>
    <row r="93" spans="4:4">
      <c r="D93" s="36"/>
    </row>
    <row r="94" spans="4:4">
      <c r="D94" s="15"/>
    </row>
    <row r="95" spans="4:4">
      <c r="D95" s="36"/>
    </row>
    <row r="96" spans="4:4">
      <c r="D96" s="15"/>
    </row>
    <row r="97" spans="4:4">
      <c r="D97" s="36"/>
    </row>
    <row r="98" spans="4:4">
      <c r="D98" s="15"/>
    </row>
    <row r="99" spans="4:4">
      <c r="D99" s="36"/>
    </row>
    <row r="100" spans="4:4">
      <c r="D100" s="15"/>
    </row>
    <row r="101" spans="4:4">
      <c r="D101" s="36"/>
    </row>
    <row r="102" spans="4:4">
      <c r="D102" s="15"/>
    </row>
    <row r="103" spans="4:4">
      <c r="D103" s="36"/>
    </row>
    <row r="104" spans="4:4">
      <c r="D104" s="15"/>
    </row>
    <row r="105" spans="4:4">
      <c r="D105" s="36"/>
    </row>
    <row r="106" spans="4:4">
      <c r="D106" s="15"/>
    </row>
    <row r="107" spans="4:4">
      <c r="D107" s="36"/>
    </row>
    <row r="108" spans="4:4">
      <c r="D108" s="15"/>
    </row>
    <row r="109" spans="4:4">
      <c r="D109" s="36"/>
    </row>
    <row r="110" spans="4:4">
      <c r="D110" s="15"/>
    </row>
    <row r="111" spans="4:4">
      <c r="D111" s="36"/>
    </row>
    <row r="112" spans="4:4">
      <c r="D112" s="15"/>
    </row>
    <row r="113" spans="4:4">
      <c r="D113" s="36"/>
    </row>
    <row r="114" spans="4:4">
      <c r="D114" s="15"/>
    </row>
    <row r="115" spans="4:4">
      <c r="D115" s="36"/>
    </row>
    <row r="116" spans="4:4">
      <c r="D116" s="15"/>
    </row>
    <row r="117" spans="4:4">
      <c r="D117" s="36"/>
    </row>
    <row r="118" spans="4:4">
      <c r="D118" s="15"/>
    </row>
    <row r="119" spans="4:4">
      <c r="D119" s="36"/>
    </row>
    <row r="120" spans="4:4">
      <c r="D120" s="15"/>
    </row>
    <row r="121" spans="4:4">
      <c r="D121" s="36"/>
    </row>
    <row r="122" spans="4:4">
      <c r="D122" s="15"/>
    </row>
    <row r="123" spans="4:4">
      <c r="D123" s="36"/>
    </row>
    <row r="124" spans="4:4">
      <c r="D124" s="15"/>
    </row>
    <row r="125" spans="4:4">
      <c r="D125" s="36"/>
    </row>
    <row r="126" spans="4:4">
      <c r="D126" s="15"/>
    </row>
    <row r="127" spans="4:4">
      <c r="D127" s="36"/>
    </row>
    <row r="128" spans="4:4">
      <c r="D128" s="15"/>
    </row>
    <row r="129" spans="4:4">
      <c r="D129" s="36"/>
    </row>
    <row r="130" spans="4:4">
      <c r="D130" s="15"/>
    </row>
    <row r="131" spans="4:4">
      <c r="D131" s="36"/>
    </row>
    <row r="132" spans="4:4">
      <c r="D132" s="15"/>
    </row>
    <row r="133" spans="4:4">
      <c r="D133" s="36"/>
    </row>
    <row r="134" spans="4:4">
      <c r="D134" s="15"/>
    </row>
    <row r="135" spans="4:4">
      <c r="D135" s="36"/>
    </row>
    <row r="136" spans="4:4">
      <c r="D136" s="15"/>
    </row>
    <row r="137" spans="4:4">
      <c r="D137" s="36"/>
    </row>
    <row r="138" spans="4:4">
      <c r="D138" s="15"/>
    </row>
    <row r="139" spans="4:4">
      <c r="D139" s="36"/>
    </row>
    <row r="140" spans="4:4">
      <c r="D140" s="15"/>
    </row>
    <row r="141" spans="4:4">
      <c r="D141" s="36"/>
    </row>
    <row r="142" spans="4:4">
      <c r="D142" s="15"/>
    </row>
    <row r="143" spans="4:4">
      <c r="D143" s="36"/>
    </row>
    <row r="144" spans="4:4">
      <c r="D144" s="15"/>
    </row>
    <row r="145" spans="4:4">
      <c r="D145" s="36"/>
    </row>
    <row r="146" spans="4:4">
      <c r="D146" s="15"/>
    </row>
    <row r="147" spans="4:4">
      <c r="D147" s="36"/>
    </row>
    <row r="148" spans="4:4">
      <c r="D148" s="15"/>
    </row>
    <row r="149" spans="4:4">
      <c r="D149" s="36"/>
    </row>
    <row r="150" spans="4:4">
      <c r="D150" s="15"/>
    </row>
    <row r="151" spans="4:4">
      <c r="D151" s="36"/>
    </row>
    <row r="152" spans="4:4">
      <c r="D152" s="15"/>
    </row>
    <row r="153" spans="4:4">
      <c r="D153" s="36"/>
    </row>
    <row r="154" spans="4:4">
      <c r="D154" s="15"/>
    </row>
    <row r="155" spans="4:4">
      <c r="D155" s="36"/>
    </row>
    <row r="156" spans="4:4">
      <c r="D156" s="15"/>
    </row>
    <row r="157" spans="4:4">
      <c r="D157" s="36"/>
    </row>
    <row r="158" spans="4:4">
      <c r="D158" s="15"/>
    </row>
    <row r="159" spans="4:4">
      <c r="D159" s="36"/>
    </row>
    <row r="160" spans="4:4">
      <c r="D160" s="15"/>
    </row>
    <row r="161" spans="4:4">
      <c r="D161" s="36"/>
    </row>
    <row r="162" spans="4:4">
      <c r="D162" s="15"/>
    </row>
    <row r="163" spans="4:4">
      <c r="D163" s="36"/>
    </row>
    <row r="164" spans="4:4">
      <c r="D164" s="15"/>
    </row>
    <row r="165" spans="4:4">
      <c r="D165" s="36"/>
    </row>
    <row r="166" spans="4:4">
      <c r="D166" s="15"/>
    </row>
    <row r="167" spans="4:4">
      <c r="D167" s="36"/>
    </row>
    <row r="168" spans="4:4">
      <c r="D168" s="15"/>
    </row>
    <row r="169" spans="4:4">
      <c r="D169" s="36"/>
    </row>
    <row r="170" spans="4:4">
      <c r="D170" s="15"/>
    </row>
    <row r="171" spans="4:4">
      <c r="D171" s="36"/>
    </row>
    <row r="172" spans="4:4">
      <c r="D172" s="15"/>
    </row>
    <row r="173" spans="4:4">
      <c r="D173" s="15"/>
    </row>
    <row r="174" spans="4:4">
      <c r="D174" s="15"/>
    </row>
    <row r="175" spans="4:4">
      <c r="D175" s="15"/>
    </row>
    <row r="176" spans="4:4">
      <c r="D176" s="15"/>
    </row>
    <row r="177" spans="4:4">
      <c r="D177" s="15"/>
    </row>
    <row r="178" spans="4:4">
      <c r="D178" s="15"/>
    </row>
    <row r="179" spans="4:4">
      <c r="D179" s="15"/>
    </row>
    <row r="180" spans="4:4">
      <c r="D180" s="15"/>
    </row>
    <row r="181" spans="4:4">
      <c r="D181" s="15"/>
    </row>
    <row r="182" spans="4:4">
      <c r="D182" s="15"/>
    </row>
    <row r="183" spans="4:4">
      <c r="D183" s="15"/>
    </row>
    <row r="184" spans="4:4">
      <c r="D184" s="15"/>
    </row>
    <row r="185" spans="4:4">
      <c r="D185" s="15"/>
    </row>
    <row r="186" spans="4:4">
      <c r="D186" s="15"/>
    </row>
    <row r="187" spans="4:4">
      <c r="D187" s="15"/>
    </row>
    <row r="188" spans="4:4">
      <c r="D188" s="15"/>
    </row>
    <row r="189" spans="4:4">
      <c r="D189" s="15"/>
    </row>
    <row r="190" spans="4:4">
      <c r="D190" s="15"/>
    </row>
    <row r="191" spans="4:4">
      <c r="D191" s="15"/>
    </row>
    <row r="192" spans="4:4">
      <c r="D192" s="15"/>
    </row>
    <row r="193" spans="4:4">
      <c r="D193" s="15"/>
    </row>
    <row r="194" spans="4:4">
      <c r="D194" s="15"/>
    </row>
    <row r="195" spans="4:4">
      <c r="D195" s="15"/>
    </row>
    <row r="196" spans="4:4">
      <c r="D196" s="15"/>
    </row>
    <row r="197" spans="4:4">
      <c r="D197" s="15"/>
    </row>
    <row r="198" spans="4:4">
      <c r="D198" s="15"/>
    </row>
    <row r="199" spans="4:4">
      <c r="D199" s="15"/>
    </row>
    <row r="200" spans="4:4">
      <c r="D200" s="15"/>
    </row>
    <row r="201" spans="4:4">
      <c r="D201" s="15"/>
    </row>
    <row r="202" spans="4:4">
      <c r="D202" s="15"/>
    </row>
    <row r="203" spans="4:4">
      <c r="D203" s="15"/>
    </row>
    <row r="204" spans="4:4">
      <c r="D204" s="15"/>
    </row>
    <row r="205" spans="4:4">
      <c r="D205" s="15"/>
    </row>
    <row r="206" spans="4:4">
      <c r="D206" s="15"/>
    </row>
    <row r="207" spans="4:4">
      <c r="D207" s="15"/>
    </row>
    <row r="208" spans="4:4">
      <c r="D208" s="15"/>
    </row>
    <row r="209" spans="4:4">
      <c r="D209" s="15"/>
    </row>
    <row r="210" spans="4:4">
      <c r="D210" s="15"/>
    </row>
    <row r="211" spans="4:4">
      <c r="D211" s="15"/>
    </row>
    <row r="212" spans="4:4">
      <c r="D212" s="15"/>
    </row>
    <row r="213" spans="4:4">
      <c r="D213" s="15"/>
    </row>
    <row r="214" spans="4:4">
      <c r="D214" s="15"/>
    </row>
    <row r="215" spans="4:4">
      <c r="D215" s="15"/>
    </row>
    <row r="216" spans="4:4">
      <c r="D216" s="15"/>
    </row>
    <row r="217" spans="4:4">
      <c r="D217" s="15"/>
    </row>
    <row r="218" spans="4:4">
      <c r="D218" s="15"/>
    </row>
    <row r="219" spans="4:4">
      <c r="D219" s="15"/>
    </row>
    <row r="220" spans="4:4">
      <c r="D220" s="15"/>
    </row>
    <row r="221" spans="4:4">
      <c r="D221" s="15"/>
    </row>
    <row r="222" spans="4:4">
      <c r="D222" s="15"/>
    </row>
    <row r="223" spans="4:4">
      <c r="D223" s="15"/>
    </row>
    <row r="224" spans="4:4">
      <c r="D224" s="15"/>
    </row>
    <row r="225" spans="4:4">
      <c r="D225" s="15"/>
    </row>
    <row r="226" spans="4:4">
      <c r="D226" s="15"/>
    </row>
    <row r="227" spans="4:4">
      <c r="D227" s="15"/>
    </row>
    <row r="228" spans="4:4">
      <c r="D228" s="15"/>
    </row>
    <row r="229" spans="4:4">
      <c r="D229" s="15"/>
    </row>
    <row r="230" spans="4:4">
      <c r="D230" s="15"/>
    </row>
    <row r="231" spans="4:4">
      <c r="D231" s="15"/>
    </row>
    <row r="232" spans="4:4">
      <c r="D232" s="15"/>
    </row>
    <row r="233" spans="4:4">
      <c r="D233" s="15"/>
    </row>
    <row r="234" spans="4:4">
      <c r="D234" s="15"/>
    </row>
    <row r="235" spans="4:4">
      <c r="D235" s="15"/>
    </row>
    <row r="236" spans="4:4">
      <c r="D236" s="15"/>
    </row>
    <row r="237" spans="4:4">
      <c r="D237" s="15"/>
    </row>
    <row r="238" spans="4:4">
      <c r="D238" s="15"/>
    </row>
    <row r="239" spans="4:4">
      <c r="D239" s="15"/>
    </row>
    <row r="240" spans="4:4">
      <c r="D240" s="15"/>
    </row>
    <row r="241" spans="4:4">
      <c r="D241" s="15"/>
    </row>
    <row r="242" spans="4:4">
      <c r="D242" s="15"/>
    </row>
    <row r="243" spans="4:4">
      <c r="D243" s="15"/>
    </row>
    <row r="244" spans="4:4">
      <c r="D244" s="15"/>
    </row>
    <row r="245" spans="4:4">
      <c r="D245" s="15"/>
    </row>
    <row r="246" spans="4:4">
      <c r="D246" s="15"/>
    </row>
    <row r="247" spans="4:4">
      <c r="D247" s="15"/>
    </row>
    <row r="248" spans="4:4">
      <c r="D248" s="15"/>
    </row>
    <row r="249" spans="4:4">
      <c r="D249" s="15"/>
    </row>
    <row r="250" spans="4:4">
      <c r="D250" s="15"/>
    </row>
    <row r="251" spans="4:4">
      <c r="D251" s="15"/>
    </row>
    <row r="252" spans="4:4">
      <c r="D252" s="15"/>
    </row>
    <row r="253" spans="4:4">
      <c r="D253" s="15"/>
    </row>
    <row r="254" spans="4:4">
      <c r="D254" s="15"/>
    </row>
    <row r="255" spans="4:4">
      <c r="D255" s="15"/>
    </row>
    <row r="256" spans="4:4">
      <c r="D256" s="15"/>
    </row>
    <row r="257" spans="4:4">
      <c r="D257" s="15"/>
    </row>
    <row r="258" spans="4:4">
      <c r="D258" s="15"/>
    </row>
    <row r="259" spans="4:4">
      <c r="D259" s="15"/>
    </row>
    <row r="260" spans="4:4">
      <c r="D260" s="15"/>
    </row>
    <row r="261" spans="4:4">
      <c r="D261" s="15"/>
    </row>
    <row r="262" spans="4:4">
      <c r="D262" s="15"/>
    </row>
    <row r="263" spans="4:4">
      <c r="D263" s="15"/>
    </row>
    <row r="264" spans="4:4">
      <c r="D264" s="15"/>
    </row>
    <row r="265" spans="4:4">
      <c r="D265" s="15"/>
    </row>
    <row r="266" spans="4:4">
      <c r="D266" s="15"/>
    </row>
    <row r="267" spans="4:4">
      <c r="D267" s="15"/>
    </row>
    <row r="268" spans="4:4">
      <c r="D268" s="15"/>
    </row>
    <row r="269" spans="4:4">
      <c r="D269" s="15"/>
    </row>
    <row r="270" spans="4:4">
      <c r="D270" s="15"/>
    </row>
    <row r="271" spans="4:4">
      <c r="D271" s="15"/>
    </row>
    <row r="272" spans="4:4">
      <c r="D272" s="15"/>
    </row>
    <row r="273" spans="4:4">
      <c r="D273" s="15"/>
    </row>
    <row r="274" spans="4:4">
      <c r="D274" s="15"/>
    </row>
    <row r="275" spans="4:4">
      <c r="D275" s="15"/>
    </row>
    <row r="276" spans="4:4">
      <c r="D276" s="15"/>
    </row>
    <row r="277" spans="4:4">
      <c r="D277" s="15"/>
    </row>
    <row r="278" spans="4:4">
      <c r="D278" s="15"/>
    </row>
    <row r="279" spans="4:4">
      <c r="D279" s="15"/>
    </row>
    <row r="280" spans="4:4">
      <c r="D280" s="15"/>
    </row>
    <row r="281" spans="4:4">
      <c r="D281" s="15"/>
    </row>
    <row r="282" spans="4:4">
      <c r="D282" s="15"/>
    </row>
    <row r="283" spans="4:4">
      <c r="D283" s="15"/>
    </row>
    <row r="284" spans="4:4">
      <c r="D284" s="15"/>
    </row>
    <row r="285" spans="4:4">
      <c r="D285" s="15"/>
    </row>
    <row r="286" spans="4:4">
      <c r="D286" s="15"/>
    </row>
    <row r="287" spans="4:4">
      <c r="D287" s="15"/>
    </row>
    <row r="288" spans="4:4">
      <c r="D288" s="15"/>
    </row>
    <row r="289" spans="4:4">
      <c r="D289" s="15"/>
    </row>
    <row r="290" spans="4:4">
      <c r="D290" s="15"/>
    </row>
    <row r="291" spans="4:4">
      <c r="D291" s="15"/>
    </row>
    <row r="292" spans="4:4">
      <c r="D292" s="15"/>
    </row>
    <row r="293" spans="4:4">
      <c r="D293" s="15"/>
    </row>
    <row r="294" spans="4:4">
      <c r="D294" s="15"/>
    </row>
    <row r="295" spans="4:4">
      <c r="D295" s="15"/>
    </row>
    <row r="296" spans="4:4">
      <c r="D296" s="15"/>
    </row>
    <row r="297" spans="4:4">
      <c r="D297" s="15"/>
    </row>
    <row r="298" spans="4:4">
      <c r="D298" s="15"/>
    </row>
    <row r="299" spans="4:4">
      <c r="D299" s="15"/>
    </row>
    <row r="300" spans="4:4">
      <c r="D300" s="15"/>
    </row>
    <row r="301" spans="4:4">
      <c r="D301" s="15"/>
    </row>
    <row r="302" spans="4:4">
      <c r="D302" s="15"/>
    </row>
    <row r="303" spans="4:4">
      <c r="D303" s="15"/>
    </row>
    <row r="304" spans="4:4">
      <c r="D304" s="15"/>
    </row>
    <row r="305" spans="4:4">
      <c r="D305" s="15"/>
    </row>
    <row r="306" spans="4:4">
      <c r="D306" s="15"/>
    </row>
    <row r="307" spans="4:4">
      <c r="D307" s="15"/>
    </row>
    <row r="308" spans="4:4">
      <c r="D308" s="15"/>
    </row>
    <row r="309" spans="4:4">
      <c r="D309" s="15"/>
    </row>
    <row r="310" spans="4:4">
      <c r="D310" s="15"/>
    </row>
    <row r="311" spans="4:4">
      <c r="D311" s="15"/>
    </row>
    <row r="312" spans="4:4">
      <c r="D312" s="15"/>
    </row>
    <row r="313" spans="4:4">
      <c r="D313" s="15"/>
    </row>
    <row r="314" spans="4:4">
      <c r="D314" s="15"/>
    </row>
    <row r="315" spans="4:4">
      <c r="D315" s="15"/>
    </row>
    <row r="316" spans="4:4">
      <c r="D316" s="15"/>
    </row>
    <row r="317" spans="4:4">
      <c r="D317" s="15"/>
    </row>
    <row r="318" spans="4:4">
      <c r="D318" s="15"/>
    </row>
    <row r="319" spans="4:4">
      <c r="D319" s="15"/>
    </row>
    <row r="320" spans="4:4">
      <c r="D320" s="15"/>
    </row>
    <row r="321" spans="4:4">
      <c r="D321" s="15"/>
    </row>
    <row r="322" spans="4:4">
      <c r="D322" s="15"/>
    </row>
    <row r="323" spans="4:4">
      <c r="D323" s="15"/>
    </row>
    <row r="324" spans="4:4">
      <c r="D324" s="15"/>
    </row>
    <row r="325" spans="4:4">
      <c r="D325" s="15"/>
    </row>
    <row r="326" spans="4:4">
      <c r="D326" s="15"/>
    </row>
    <row r="327" spans="4:4">
      <c r="D327" s="15"/>
    </row>
    <row r="328" spans="4:4">
      <c r="D328" s="15"/>
    </row>
    <row r="329" spans="4:4">
      <c r="D329" s="15"/>
    </row>
    <row r="330" spans="4:4">
      <c r="D330" s="15"/>
    </row>
    <row r="331" spans="4:4">
      <c r="D331" s="15"/>
    </row>
    <row r="332" spans="4:4">
      <c r="D332" s="15"/>
    </row>
    <row r="333" spans="4:4">
      <c r="D333" s="15"/>
    </row>
    <row r="334" spans="4:4">
      <c r="D334" s="15"/>
    </row>
    <row r="335" spans="4:4">
      <c r="D335" s="15"/>
    </row>
    <row r="336" spans="4:4">
      <c r="D336" s="15"/>
    </row>
    <row r="337" spans="4:4">
      <c r="D337" s="15"/>
    </row>
    <row r="338" spans="4:4">
      <c r="D338" s="15"/>
    </row>
    <row r="339" spans="4:4">
      <c r="D339" s="15"/>
    </row>
    <row r="340" spans="4:4">
      <c r="D340" s="15"/>
    </row>
    <row r="341" spans="4:4">
      <c r="D341" s="15"/>
    </row>
    <row r="342" spans="4:4">
      <c r="D342" s="15"/>
    </row>
    <row r="343" spans="4:4">
      <c r="D343" s="15"/>
    </row>
    <row r="344" spans="4:4">
      <c r="D344" s="15"/>
    </row>
    <row r="345" spans="4:4">
      <c r="D345" s="15"/>
    </row>
    <row r="346" spans="4:4">
      <c r="D346" s="15"/>
    </row>
    <row r="347" spans="4:4">
      <c r="D347" s="15"/>
    </row>
    <row r="348" spans="4:4">
      <c r="D348" s="15"/>
    </row>
    <row r="349" spans="4:4">
      <c r="D349" s="15"/>
    </row>
    <row r="350" spans="4:4">
      <c r="D350" s="15"/>
    </row>
    <row r="351" spans="4:4">
      <c r="D351" s="15"/>
    </row>
    <row r="352" spans="4:4">
      <c r="D352" s="15"/>
    </row>
    <row r="353" spans="4:4">
      <c r="D353" s="15"/>
    </row>
    <row r="354" spans="4:4">
      <c r="D354" s="15"/>
    </row>
    <row r="355" spans="4:4">
      <c r="D355" s="15"/>
    </row>
    <row r="356" spans="4:4">
      <c r="D356" s="15"/>
    </row>
    <row r="357" spans="4:4">
      <c r="D357" s="15"/>
    </row>
    <row r="358" spans="4:4">
      <c r="D358" s="15"/>
    </row>
    <row r="359" spans="4:4">
      <c r="D359" s="15"/>
    </row>
    <row r="360" spans="4:4">
      <c r="D360" s="15"/>
    </row>
    <row r="361" spans="4:4">
      <c r="D361" s="15"/>
    </row>
    <row r="362" spans="4:4">
      <c r="D362" s="15"/>
    </row>
    <row r="363" spans="4:4">
      <c r="D363" s="15"/>
    </row>
    <row r="364" spans="4:4">
      <c r="D364" s="15"/>
    </row>
    <row r="365" spans="4:4">
      <c r="D365" s="15"/>
    </row>
    <row r="366" spans="4:4">
      <c r="D366" s="15"/>
    </row>
    <row r="367" spans="4:4">
      <c r="D367" s="15"/>
    </row>
    <row r="368" spans="4:4">
      <c r="D368" s="15"/>
    </row>
    <row r="369" spans="4:4">
      <c r="D369" s="15"/>
    </row>
    <row r="370" spans="4:4">
      <c r="D370" s="15"/>
    </row>
    <row r="371" spans="4:4">
      <c r="D371" s="15"/>
    </row>
    <row r="372" spans="4:4">
      <c r="D372" s="15"/>
    </row>
    <row r="373" spans="4:4">
      <c r="D373" s="15"/>
    </row>
    <row r="374" spans="4:4">
      <c r="D374" s="15"/>
    </row>
    <row r="375" spans="4:4">
      <c r="D375" s="15"/>
    </row>
    <row r="376" spans="4:4">
      <c r="D376" s="15"/>
    </row>
    <row r="377" spans="4:4">
      <c r="D377" s="15"/>
    </row>
    <row r="378" spans="4:4">
      <c r="D378" s="15"/>
    </row>
    <row r="379" spans="4:4">
      <c r="D379" s="15"/>
    </row>
    <row r="380" spans="4:4">
      <c r="D380" s="15"/>
    </row>
    <row r="381" spans="4:4">
      <c r="D381" s="15"/>
    </row>
    <row r="382" spans="4:4">
      <c r="D382" s="15"/>
    </row>
    <row r="383" spans="4:4">
      <c r="D383" s="15"/>
    </row>
    <row r="384" spans="4:4">
      <c r="D384" s="15"/>
    </row>
    <row r="385" spans="4:4">
      <c r="D385" s="15"/>
    </row>
    <row r="386" spans="4:4">
      <c r="D386" s="15"/>
    </row>
    <row r="387" spans="4:4">
      <c r="D387" s="15"/>
    </row>
    <row r="388" spans="4:4">
      <c r="D388" s="15"/>
    </row>
    <row r="389" spans="4:4">
      <c r="D389" s="15"/>
    </row>
    <row r="390" spans="4:4">
      <c r="D390" s="15"/>
    </row>
    <row r="391" spans="4:4">
      <c r="D391" s="15"/>
    </row>
    <row r="392" spans="4:4">
      <c r="D392" s="15"/>
    </row>
    <row r="393" spans="4:4">
      <c r="D393" s="15"/>
    </row>
    <row r="394" spans="4:4">
      <c r="D394" s="15"/>
    </row>
    <row r="395" spans="4:4">
      <c r="D395" s="15"/>
    </row>
    <row r="396" spans="4:4">
      <c r="D396" s="15"/>
    </row>
    <row r="397" spans="4:4">
      <c r="D397" s="15"/>
    </row>
    <row r="398" spans="4:4">
      <c r="D398" s="15"/>
    </row>
    <row r="399" spans="4:4">
      <c r="D399" s="15"/>
    </row>
    <row r="400" spans="4:4">
      <c r="D400" s="15"/>
    </row>
    <row r="401" spans="4:4">
      <c r="D401" s="15"/>
    </row>
    <row r="402" spans="4:4">
      <c r="D402" s="15"/>
    </row>
    <row r="403" spans="4:4">
      <c r="D403" s="15"/>
    </row>
    <row r="404" spans="4:4">
      <c r="D404" s="15"/>
    </row>
    <row r="405" spans="4:4">
      <c r="D405" s="15"/>
    </row>
    <row r="406" spans="4:4">
      <c r="D406" s="15"/>
    </row>
    <row r="407" spans="4:4">
      <c r="D407" s="15"/>
    </row>
    <row r="408" spans="4:4">
      <c r="D408" s="15"/>
    </row>
    <row r="409" spans="4:4">
      <c r="D409" s="15"/>
    </row>
    <row r="410" spans="4:4">
      <c r="D410" s="15"/>
    </row>
    <row r="411" spans="4:4">
      <c r="D411" s="15"/>
    </row>
    <row r="412" spans="4:4">
      <c r="D412" s="15"/>
    </row>
    <row r="413" spans="4:4">
      <c r="D413" s="15"/>
    </row>
    <row r="414" spans="4:4">
      <c r="D414" s="15"/>
    </row>
    <row r="415" spans="4:4">
      <c r="D415" s="15"/>
    </row>
    <row r="416" spans="4:4">
      <c r="D416" s="15"/>
    </row>
    <row r="417" spans="4:4">
      <c r="D417" s="15"/>
    </row>
    <row r="418" spans="4:4">
      <c r="D418" s="15"/>
    </row>
    <row r="419" spans="4:4">
      <c r="D419" s="15"/>
    </row>
    <row r="420" spans="4:4">
      <c r="D420" s="15"/>
    </row>
    <row r="421" spans="4:4">
      <c r="D421" s="15"/>
    </row>
    <row r="422" spans="4:4">
      <c r="D422" s="15"/>
    </row>
    <row r="423" spans="4:4">
      <c r="D423" s="15"/>
    </row>
    <row r="424" spans="4:4">
      <c r="D424" s="15"/>
    </row>
    <row r="425" spans="4:4">
      <c r="D425" s="15"/>
    </row>
    <row r="426" spans="4:4">
      <c r="D426" s="15"/>
    </row>
    <row r="427" spans="4:4">
      <c r="D427" s="15"/>
    </row>
    <row r="428" spans="4:4">
      <c r="D428" s="15"/>
    </row>
    <row r="429" spans="4:4">
      <c r="D429" s="15"/>
    </row>
    <row r="430" spans="4:4">
      <c r="D430" s="15"/>
    </row>
    <row r="431" spans="4:4">
      <c r="D431" s="15"/>
    </row>
    <row r="432" spans="4:4">
      <c r="D432" s="15"/>
    </row>
    <row r="433" spans="4:4">
      <c r="D433" s="15"/>
    </row>
    <row r="434" spans="4:4">
      <c r="D434" s="15"/>
    </row>
    <row r="435" spans="4:4">
      <c r="D435" s="15"/>
    </row>
    <row r="436" spans="4:4">
      <c r="D436" s="15"/>
    </row>
    <row r="437" spans="4:4">
      <c r="D437" s="15"/>
    </row>
    <row r="438" spans="4:4">
      <c r="D438" s="15"/>
    </row>
    <row r="439" spans="4:4">
      <c r="D439" s="15"/>
    </row>
    <row r="440" spans="4:4">
      <c r="D440" s="15"/>
    </row>
    <row r="441" spans="4:4">
      <c r="D441" s="15"/>
    </row>
    <row r="442" spans="4:4">
      <c r="D442" s="15"/>
    </row>
    <row r="443" spans="4:4">
      <c r="D443" s="15"/>
    </row>
    <row r="444" spans="4:4">
      <c r="D444" s="15"/>
    </row>
    <row r="445" spans="4:4">
      <c r="D445" s="15"/>
    </row>
    <row r="446" spans="4:4">
      <c r="D446" s="15"/>
    </row>
    <row r="447" spans="4:4">
      <c r="D447" s="15"/>
    </row>
    <row r="448" spans="4:4">
      <c r="D448" s="15"/>
    </row>
    <row r="449" spans="4:4">
      <c r="D449" s="15"/>
    </row>
    <row r="450" spans="4:4">
      <c r="D450" s="15"/>
    </row>
    <row r="451" spans="4:4">
      <c r="D451" s="15"/>
    </row>
    <row r="452" spans="4:4">
      <c r="D452" s="15"/>
    </row>
    <row r="453" spans="4:4">
      <c r="D453" s="15"/>
    </row>
    <row r="454" spans="4:4">
      <c r="D454" s="15"/>
    </row>
    <row r="455" spans="4:4">
      <c r="D455" s="15"/>
    </row>
    <row r="456" spans="4:4">
      <c r="D456" s="15"/>
    </row>
    <row r="457" spans="4:4">
      <c r="D457" s="15"/>
    </row>
    <row r="458" spans="4:4">
      <c r="D458" s="15"/>
    </row>
    <row r="459" spans="4:4">
      <c r="D459" s="15"/>
    </row>
    <row r="460" spans="4:4">
      <c r="D460" s="15"/>
    </row>
    <row r="461" spans="4:4">
      <c r="D461" s="15"/>
    </row>
    <row r="462" spans="4:4">
      <c r="D462" s="15"/>
    </row>
    <row r="463" spans="4:4">
      <c r="D463" s="15"/>
    </row>
    <row r="464" spans="4:4">
      <c r="D464" s="15"/>
    </row>
    <row r="465" spans="4:4">
      <c r="D465" s="15"/>
    </row>
    <row r="466" spans="4:4">
      <c r="D466" s="15"/>
    </row>
    <row r="467" spans="4:4">
      <c r="D467" s="15"/>
    </row>
    <row r="468" spans="4:4">
      <c r="D468" s="15"/>
    </row>
    <row r="469" spans="4:4">
      <c r="D469" s="15"/>
    </row>
    <row r="470" spans="4:4">
      <c r="D470" s="15"/>
    </row>
    <row r="471" spans="4:4">
      <c r="D471" s="15"/>
    </row>
    <row r="472" spans="4:4">
      <c r="D472" s="15"/>
    </row>
    <row r="473" spans="4:4">
      <c r="D473" s="15"/>
    </row>
    <row r="474" spans="4:4">
      <c r="D474" s="15"/>
    </row>
    <row r="475" spans="4:4">
      <c r="D475" s="15"/>
    </row>
    <row r="476" spans="4:4">
      <c r="D476" s="15"/>
    </row>
    <row r="477" spans="4:4">
      <c r="D477" s="15"/>
    </row>
    <row r="478" spans="4:4">
      <c r="D478" s="15"/>
    </row>
    <row r="479" spans="4:4">
      <c r="D479" s="15"/>
    </row>
    <row r="480" spans="4:4">
      <c r="D480" s="15"/>
    </row>
    <row r="481" spans="4:4">
      <c r="D481" s="15"/>
    </row>
    <row r="482" spans="4:4">
      <c r="D482" s="15"/>
    </row>
    <row r="483" spans="4:4">
      <c r="D483" s="15"/>
    </row>
    <row r="484" spans="4:4">
      <c r="D484" s="15"/>
    </row>
    <row r="485" spans="4:4">
      <c r="D485" s="15"/>
    </row>
    <row r="486" spans="4:4">
      <c r="D486" s="15"/>
    </row>
    <row r="487" spans="4:4">
      <c r="D487" s="15"/>
    </row>
    <row r="488" spans="4:4">
      <c r="D488" s="15"/>
    </row>
    <row r="489" spans="4:4">
      <c r="D489" s="15"/>
    </row>
    <row r="490" spans="4:4">
      <c r="D490" s="15"/>
    </row>
    <row r="491" spans="4:4">
      <c r="D491" s="15"/>
    </row>
    <row r="492" spans="4:4">
      <c r="D492" s="15"/>
    </row>
    <row r="493" spans="4:4">
      <c r="D493" s="15"/>
    </row>
    <row r="494" spans="4:4">
      <c r="D494" s="15"/>
    </row>
    <row r="495" spans="4:4">
      <c r="D495" s="15"/>
    </row>
    <row r="496" spans="4:4">
      <c r="D496" s="15"/>
    </row>
    <row r="497" spans="4:4">
      <c r="D497" s="15"/>
    </row>
    <row r="498" spans="4:4">
      <c r="D498" s="15"/>
    </row>
    <row r="499" spans="4:4">
      <c r="D499" s="15"/>
    </row>
    <row r="500" spans="4:4">
      <c r="D500" s="15"/>
    </row>
    <row r="501" spans="4:4">
      <c r="D501" s="15"/>
    </row>
    <row r="502" spans="4:4">
      <c r="D502" s="15"/>
    </row>
    <row r="503" spans="4:4">
      <c r="D503" s="15"/>
    </row>
    <row r="504" spans="4:4">
      <c r="D504" s="15"/>
    </row>
    <row r="505" spans="4:4">
      <c r="D505" s="15"/>
    </row>
    <row r="506" spans="4:4">
      <c r="D506" s="15"/>
    </row>
    <row r="507" spans="4:4">
      <c r="D507" s="15"/>
    </row>
    <row r="508" spans="4:4">
      <c r="D508" s="15"/>
    </row>
    <row r="509" spans="4:4">
      <c r="D509" s="15"/>
    </row>
    <row r="510" spans="4:4">
      <c r="D510" s="15"/>
    </row>
    <row r="511" spans="4:4">
      <c r="D511" s="15"/>
    </row>
    <row r="512" spans="4:4">
      <c r="D512" s="15"/>
    </row>
    <row r="513" spans="4:4">
      <c r="D513" s="15"/>
    </row>
    <row r="514" spans="4:4">
      <c r="D514" s="15"/>
    </row>
    <row r="515" spans="4:4">
      <c r="D515" s="15"/>
    </row>
    <row r="516" spans="4:4">
      <c r="D516" s="15"/>
    </row>
    <row r="517" spans="4:4">
      <c r="D517" s="15"/>
    </row>
    <row r="518" spans="4:4">
      <c r="D518" s="15"/>
    </row>
    <row r="519" spans="4:4">
      <c r="D519" s="15"/>
    </row>
    <row r="520" spans="4:4">
      <c r="D520" s="15"/>
    </row>
    <row r="521" spans="4:4">
      <c r="D521" s="15"/>
    </row>
    <row r="522" spans="4:4">
      <c r="D522" s="15"/>
    </row>
    <row r="523" spans="4:4">
      <c r="D523" s="15"/>
    </row>
    <row r="524" spans="4:4">
      <c r="D524" s="15"/>
    </row>
    <row r="525" spans="4:4">
      <c r="D525" s="15"/>
    </row>
    <row r="526" spans="4:4">
      <c r="D526" s="15"/>
    </row>
    <row r="527" spans="4:4">
      <c r="D527" s="15"/>
    </row>
    <row r="528" spans="4:4">
      <c r="D528" s="15"/>
    </row>
    <row r="529" spans="4:4">
      <c r="D529" s="15"/>
    </row>
    <row r="530" spans="4:4">
      <c r="D530" s="15"/>
    </row>
    <row r="531" spans="4:4">
      <c r="D531" s="15"/>
    </row>
    <row r="532" spans="4:4">
      <c r="D532" s="15"/>
    </row>
    <row r="533" spans="4:4">
      <c r="D533" s="15"/>
    </row>
    <row r="534" spans="4:4">
      <c r="D534" s="15"/>
    </row>
    <row r="535" spans="4:4">
      <c r="D535" s="15"/>
    </row>
    <row r="536" spans="4:4">
      <c r="D536" s="15"/>
    </row>
    <row r="537" spans="4:4">
      <c r="D537" s="15"/>
    </row>
    <row r="538" spans="4:4">
      <c r="D538" s="15"/>
    </row>
    <row r="539" spans="4:4">
      <c r="D539" s="15"/>
    </row>
    <row r="540" spans="4:4">
      <c r="D540" s="15"/>
    </row>
    <row r="541" spans="4:4">
      <c r="D541" s="15"/>
    </row>
    <row r="542" spans="4:4">
      <c r="D542" s="15"/>
    </row>
    <row r="543" spans="4:4">
      <c r="D543" s="15"/>
    </row>
    <row r="544" spans="4:4">
      <c r="D544" s="15"/>
    </row>
    <row r="545" spans="4:4">
      <c r="D545" s="15"/>
    </row>
    <row r="546" spans="4:4">
      <c r="D546" s="15"/>
    </row>
    <row r="547" spans="4:4">
      <c r="D547" s="15"/>
    </row>
    <row r="548" spans="4:4">
      <c r="D548" s="15"/>
    </row>
    <row r="549" spans="4:4">
      <c r="D549" s="15"/>
    </row>
    <row r="550" spans="4:4">
      <c r="D550" s="15"/>
    </row>
    <row r="551" spans="4:4">
      <c r="D551" s="15"/>
    </row>
    <row r="552" spans="4:4">
      <c r="D552" s="15"/>
    </row>
    <row r="553" spans="4:4">
      <c r="D553" s="15"/>
    </row>
    <row r="554" spans="4:4">
      <c r="D554" s="15"/>
    </row>
    <row r="555" spans="4:4">
      <c r="D555" s="15"/>
    </row>
    <row r="556" spans="4:4">
      <c r="D556" s="15"/>
    </row>
    <row r="557" spans="4:4">
      <c r="D557" s="15"/>
    </row>
    <row r="558" spans="4:4">
      <c r="D558" s="15"/>
    </row>
    <row r="559" spans="4:4">
      <c r="D559" s="15"/>
    </row>
    <row r="560" spans="4:4">
      <c r="D560" s="15"/>
    </row>
    <row r="561" spans="4:4">
      <c r="D561" s="15"/>
    </row>
    <row r="562" spans="4:4">
      <c r="D562" s="15"/>
    </row>
    <row r="563" spans="4:4">
      <c r="D563" s="15"/>
    </row>
    <row r="564" spans="4:4">
      <c r="D564" s="15"/>
    </row>
    <row r="565" spans="4:4">
      <c r="D565" s="15"/>
    </row>
    <row r="566" spans="4:4">
      <c r="D566" s="15"/>
    </row>
    <row r="567" spans="4:4">
      <c r="D567" s="15"/>
    </row>
    <row r="568" spans="4:4">
      <c r="D568" s="15"/>
    </row>
    <row r="569" spans="4:4">
      <c r="D569" s="15"/>
    </row>
    <row r="570" spans="4:4">
      <c r="D570" s="15"/>
    </row>
    <row r="571" spans="4:4">
      <c r="D571" s="15"/>
    </row>
    <row r="572" spans="4:4">
      <c r="D572" s="15"/>
    </row>
    <row r="573" spans="4:4">
      <c r="D573" s="15"/>
    </row>
    <row r="574" spans="4:4">
      <c r="D574" s="15"/>
    </row>
    <row r="575" spans="4:4">
      <c r="D575" s="15"/>
    </row>
    <row r="576" spans="4:4">
      <c r="D576" s="15"/>
    </row>
    <row r="577" spans="4:4">
      <c r="D577" s="15"/>
    </row>
    <row r="578" spans="4:4">
      <c r="D578" s="15"/>
    </row>
    <row r="579" spans="4:4">
      <c r="D579" s="15"/>
    </row>
    <row r="580" spans="4:4">
      <c r="D580" s="15"/>
    </row>
    <row r="581" spans="4:4">
      <c r="D581" s="15"/>
    </row>
    <row r="582" spans="4:4">
      <c r="D582" s="15"/>
    </row>
    <row r="583" spans="4:4">
      <c r="D583" s="15"/>
    </row>
    <row r="584" spans="4:4">
      <c r="D584" s="15"/>
    </row>
    <row r="585" spans="4:4">
      <c r="D585" s="15"/>
    </row>
    <row r="586" spans="4:4">
      <c r="D586" s="15"/>
    </row>
    <row r="587" spans="4:4">
      <c r="D587" s="15"/>
    </row>
    <row r="588" spans="4:4">
      <c r="D588" s="15"/>
    </row>
    <row r="589" spans="4:4">
      <c r="D589" s="15"/>
    </row>
    <row r="590" spans="4:4">
      <c r="D590" s="15"/>
    </row>
    <row r="591" spans="4:4">
      <c r="D591" s="15"/>
    </row>
    <row r="592" spans="4:4">
      <c r="D592" s="15"/>
    </row>
    <row r="593" spans="4:4">
      <c r="D593" s="15"/>
    </row>
    <row r="594" spans="4:4">
      <c r="D594" s="15"/>
    </row>
    <row r="595" spans="4:4">
      <c r="D595" s="15"/>
    </row>
    <row r="596" spans="4:4">
      <c r="D596" s="15"/>
    </row>
    <row r="597" spans="4:4">
      <c r="D597" s="15"/>
    </row>
    <row r="598" spans="4:4">
      <c r="D598" s="15"/>
    </row>
    <row r="599" spans="4:4">
      <c r="D599" s="15"/>
    </row>
    <row r="600" spans="4:4">
      <c r="D600" s="15"/>
    </row>
    <row r="601" spans="4:4">
      <c r="D601" s="15"/>
    </row>
    <row r="602" spans="4:4">
      <c r="D602" s="15"/>
    </row>
    <row r="603" spans="4:4">
      <c r="D603" s="15"/>
    </row>
    <row r="604" spans="4:4">
      <c r="D604" s="15"/>
    </row>
    <row r="605" spans="4:4">
      <c r="D605" s="15"/>
    </row>
    <row r="606" spans="4:4">
      <c r="D606" s="15"/>
    </row>
    <row r="607" spans="4:4">
      <c r="D607" s="15"/>
    </row>
    <row r="608" spans="4:4">
      <c r="D608" s="15"/>
    </row>
    <row r="609" spans="4:4">
      <c r="D609" s="15"/>
    </row>
    <row r="610" spans="4:4">
      <c r="D610" s="15"/>
    </row>
    <row r="611" spans="4:4">
      <c r="D611" s="15"/>
    </row>
    <row r="612" spans="4:4">
      <c r="D612" s="15"/>
    </row>
    <row r="613" spans="4:4">
      <c r="D613" s="15"/>
    </row>
    <row r="614" spans="4:4">
      <c r="D614" s="15"/>
    </row>
    <row r="615" spans="4:4">
      <c r="D615" s="15"/>
    </row>
    <row r="616" spans="4:4">
      <c r="D616" s="15"/>
    </row>
    <row r="617" spans="4:4">
      <c r="D617" s="15"/>
    </row>
    <row r="618" spans="4:4">
      <c r="D618" s="15"/>
    </row>
    <row r="619" spans="4:4">
      <c r="D619" s="15"/>
    </row>
    <row r="620" spans="4:4">
      <c r="D620" s="15"/>
    </row>
    <row r="621" spans="4:4">
      <c r="D621" s="15"/>
    </row>
    <row r="622" spans="4:4">
      <c r="D622" s="15"/>
    </row>
    <row r="623" spans="4:4">
      <c r="D623" s="15"/>
    </row>
    <row r="624" spans="4:4">
      <c r="D624" s="15"/>
    </row>
    <row r="625" spans="4:4">
      <c r="D625" s="15"/>
    </row>
  </sheetData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5D1FC-37E8-4D87-A74B-391AC166A40F}">
  <sheetPr codeName="Feuil10">
    <tabColor theme="1" tint="0.499984740745262"/>
  </sheetPr>
  <dimension ref="A1:R215"/>
  <sheetViews>
    <sheetView zoomScale="85" zoomScaleNormal="85" workbookViewId="0">
      <pane xSplit="3" ySplit="2" topLeftCell="D138" activePane="bottomRight" state="frozen"/>
      <selection activeCell="D27" sqref="D27"/>
      <selection pane="topRight" activeCell="D27" sqref="D27"/>
      <selection pane="bottomLeft" activeCell="D27" sqref="D27"/>
      <selection pane="bottomRight" activeCell="F159" sqref="F159"/>
    </sheetView>
  </sheetViews>
  <sheetFormatPr baseColWidth="10" defaultColWidth="11.42578125" defaultRowHeight="15"/>
  <cols>
    <col min="1" max="1" width="6.140625" style="34" bestFit="1" customWidth="1"/>
    <col min="2" max="2" width="22.7109375" style="34" bestFit="1" customWidth="1"/>
    <col min="3" max="3" width="8.140625" style="34" customWidth="1"/>
    <col min="4" max="4" width="28.140625" style="34" bestFit="1" customWidth="1"/>
    <col min="5" max="5" width="54.140625" style="34" bestFit="1" customWidth="1"/>
    <col min="6" max="6" width="50.28515625" style="34" bestFit="1" customWidth="1"/>
    <col min="7" max="12" width="5.140625" style="34" customWidth="1"/>
    <col min="13" max="13" width="19" style="34" bestFit="1" customWidth="1"/>
    <col min="14" max="14" width="50" style="34" customWidth="1"/>
    <col min="15" max="15" width="9.7109375" style="34" bestFit="1" customWidth="1"/>
    <col min="16" max="16" width="11.5703125" style="34" customWidth="1"/>
    <col min="17" max="17" width="10.42578125" style="34" customWidth="1"/>
    <col min="18" max="18" width="8" style="35" customWidth="1"/>
    <col min="19" max="16384" width="11.42578125" style="21"/>
  </cols>
  <sheetData>
    <row r="1" spans="1:18">
      <c r="A1" s="34" t="s">
        <v>13</v>
      </c>
      <c r="B1" s="34" t="s">
        <v>15</v>
      </c>
      <c r="C1" s="34" t="s">
        <v>16</v>
      </c>
      <c r="D1" s="34" t="s">
        <v>17</v>
      </c>
      <c r="E1" s="34" t="s">
        <v>18</v>
      </c>
      <c r="F1" s="34" t="s">
        <v>19</v>
      </c>
      <c r="G1" s="34" t="s">
        <v>20</v>
      </c>
      <c r="H1" s="34" t="s">
        <v>29</v>
      </c>
      <c r="I1" s="34" t="s">
        <v>35</v>
      </c>
      <c r="J1" s="34" t="s">
        <v>34</v>
      </c>
      <c r="K1" s="34" t="s">
        <v>33</v>
      </c>
      <c r="L1" s="34" t="s">
        <v>32</v>
      </c>
      <c r="M1" s="34" t="s">
        <v>21</v>
      </c>
      <c r="N1" s="34" t="s">
        <v>22</v>
      </c>
      <c r="O1" s="34" t="s">
        <v>23</v>
      </c>
      <c r="P1" s="34" t="s">
        <v>24</v>
      </c>
      <c r="Q1" s="34" t="s">
        <v>25</v>
      </c>
      <c r="R1" s="35" t="s">
        <v>26</v>
      </c>
    </row>
    <row r="2" spans="1:18">
      <c r="A2" s="21" t="s">
        <v>14</v>
      </c>
      <c r="B2" s="21" t="s">
        <v>30</v>
      </c>
      <c r="C2" s="21"/>
      <c r="D2" s="21" t="s">
        <v>50</v>
      </c>
      <c r="E2" s="21"/>
      <c r="F2" s="21"/>
      <c r="G2" s="21"/>
      <c r="H2" s="21"/>
      <c r="I2" s="21"/>
      <c r="J2" s="21"/>
      <c r="K2" s="21"/>
      <c r="L2" s="21"/>
      <c r="M2" s="21"/>
      <c r="N2" s="21" t="s">
        <v>28</v>
      </c>
      <c r="O2" s="21" t="s">
        <v>642</v>
      </c>
      <c r="P2" s="21"/>
      <c r="Q2" s="21"/>
      <c r="R2" s="20"/>
    </row>
    <row r="3" spans="1:18" s="56" customFormat="1">
      <c r="A3" s="56" t="s">
        <v>14</v>
      </c>
      <c r="B3" s="56" t="s">
        <v>31</v>
      </c>
      <c r="C3" s="56">
        <v>2</v>
      </c>
      <c r="D3" s="56" t="s">
        <v>64</v>
      </c>
      <c r="E3" s="56" t="s">
        <v>644</v>
      </c>
      <c r="N3" s="56" t="s">
        <v>68</v>
      </c>
      <c r="O3" s="56" t="s">
        <v>136</v>
      </c>
      <c r="R3" s="57" t="s">
        <v>14</v>
      </c>
    </row>
    <row r="4" spans="1:18" s="34" customFormat="1">
      <c r="A4" s="34" t="s">
        <v>14</v>
      </c>
      <c r="B4" s="34" t="s">
        <v>31</v>
      </c>
      <c r="C4" s="34">
        <v>2</v>
      </c>
      <c r="D4" s="34" t="s">
        <v>65</v>
      </c>
      <c r="E4" s="34" t="s">
        <v>647</v>
      </c>
      <c r="N4" s="34" t="s">
        <v>651</v>
      </c>
      <c r="O4" s="34" t="s">
        <v>649</v>
      </c>
      <c r="R4" s="35" t="s">
        <v>14</v>
      </c>
    </row>
    <row r="5" spans="1:18" s="34" customFormat="1">
      <c r="A5" s="34" t="s">
        <v>14</v>
      </c>
      <c r="B5" s="34" t="s">
        <v>31</v>
      </c>
      <c r="C5" s="34">
        <v>2</v>
      </c>
      <c r="D5" s="34" t="s">
        <v>65</v>
      </c>
      <c r="E5" s="34" t="s">
        <v>648</v>
      </c>
      <c r="N5" s="34" t="s">
        <v>651</v>
      </c>
      <c r="O5" s="34" t="s">
        <v>650</v>
      </c>
      <c r="R5" s="35" t="s">
        <v>14</v>
      </c>
    </row>
    <row r="6" spans="1:18" s="34" customFormat="1">
      <c r="A6" s="34" t="s">
        <v>14</v>
      </c>
      <c r="B6" s="34" t="s">
        <v>31</v>
      </c>
      <c r="C6" s="34">
        <v>2</v>
      </c>
      <c r="D6" s="34" t="s">
        <v>137</v>
      </c>
      <c r="E6" s="34" t="s">
        <v>643</v>
      </c>
      <c r="N6" s="34" t="s">
        <v>68</v>
      </c>
      <c r="O6" s="34" t="s">
        <v>136</v>
      </c>
      <c r="R6" s="35" t="s">
        <v>14</v>
      </c>
    </row>
    <row r="7" spans="1:18" s="34" customFormat="1">
      <c r="A7" s="34" t="s">
        <v>14</v>
      </c>
      <c r="B7" s="34" t="s">
        <v>31</v>
      </c>
      <c r="C7" s="34">
        <v>2</v>
      </c>
      <c r="D7" s="34" t="s">
        <v>138</v>
      </c>
      <c r="E7" s="34" t="s">
        <v>646</v>
      </c>
      <c r="N7" s="34" t="s">
        <v>651</v>
      </c>
      <c r="O7" s="34" t="s">
        <v>649</v>
      </c>
      <c r="R7" s="35" t="s">
        <v>14</v>
      </c>
    </row>
    <row r="8" spans="1:18" s="34" customFormat="1">
      <c r="A8" s="34" t="s">
        <v>14</v>
      </c>
      <c r="B8" s="34" t="s">
        <v>31</v>
      </c>
      <c r="C8" s="34">
        <v>2</v>
      </c>
      <c r="D8" s="34" t="s">
        <v>138</v>
      </c>
      <c r="E8" s="34" t="s">
        <v>645</v>
      </c>
      <c r="N8" s="34" t="s">
        <v>651</v>
      </c>
      <c r="O8" s="34" t="s">
        <v>650</v>
      </c>
      <c r="R8" s="35" t="s">
        <v>14</v>
      </c>
    </row>
    <row r="9" spans="1:18" s="56" customFormat="1">
      <c r="A9" s="56" t="s">
        <v>14</v>
      </c>
      <c r="B9" s="56" t="s">
        <v>31</v>
      </c>
      <c r="C9" s="56">
        <v>5</v>
      </c>
      <c r="D9" s="56" t="s">
        <v>652</v>
      </c>
      <c r="E9" s="56" t="s">
        <v>660</v>
      </c>
      <c r="N9" s="56" t="s">
        <v>66</v>
      </c>
      <c r="R9" s="57" t="s">
        <v>14</v>
      </c>
    </row>
    <row r="10" spans="1:18" s="34" customFormat="1">
      <c r="A10" s="34" t="s">
        <v>14</v>
      </c>
      <c r="B10" s="34" t="s">
        <v>31</v>
      </c>
      <c r="C10" s="34">
        <v>5</v>
      </c>
      <c r="D10" s="34" t="s">
        <v>653</v>
      </c>
      <c r="E10" s="34" t="s">
        <v>655</v>
      </c>
      <c r="N10" s="34" t="s">
        <v>66</v>
      </c>
      <c r="R10" s="35" t="s">
        <v>14</v>
      </c>
    </row>
    <row r="11" spans="1:18" s="34" customFormat="1">
      <c r="A11" s="34" t="s">
        <v>14</v>
      </c>
      <c r="B11" s="34" t="s">
        <v>31</v>
      </c>
      <c r="C11" s="34">
        <v>5</v>
      </c>
      <c r="D11" s="34" t="s">
        <v>654</v>
      </c>
      <c r="E11" s="34" t="s">
        <v>655</v>
      </c>
      <c r="N11" s="34" t="s">
        <v>678</v>
      </c>
      <c r="R11" s="35" t="s">
        <v>14</v>
      </c>
    </row>
    <row r="12" spans="1:18" s="34" customFormat="1">
      <c r="A12" s="34" t="s">
        <v>14</v>
      </c>
      <c r="B12" s="34" t="s">
        <v>31</v>
      </c>
      <c r="C12" s="34">
        <v>5</v>
      </c>
      <c r="D12" s="34" t="s">
        <v>657</v>
      </c>
      <c r="E12" s="34" t="s">
        <v>661</v>
      </c>
      <c r="N12" s="34" t="s">
        <v>66</v>
      </c>
      <c r="R12" s="35" t="s">
        <v>14</v>
      </c>
    </row>
    <row r="13" spans="1:18" s="34" customFormat="1">
      <c r="A13" s="34" t="s">
        <v>14</v>
      </c>
      <c r="B13" s="34" t="s">
        <v>31</v>
      </c>
      <c r="C13" s="34">
        <v>5</v>
      </c>
      <c r="D13" s="34" t="s">
        <v>658</v>
      </c>
      <c r="E13" s="34" t="s">
        <v>656</v>
      </c>
      <c r="N13" s="34" t="s">
        <v>66</v>
      </c>
      <c r="R13" s="35" t="s">
        <v>14</v>
      </c>
    </row>
    <row r="14" spans="1:18" s="34" customFormat="1">
      <c r="A14" s="34" t="s">
        <v>14</v>
      </c>
      <c r="B14" s="34" t="s">
        <v>31</v>
      </c>
      <c r="C14" s="34">
        <v>5</v>
      </c>
      <c r="D14" s="34" t="s">
        <v>659</v>
      </c>
      <c r="E14" s="34" t="s">
        <v>656</v>
      </c>
      <c r="N14" s="34" t="s">
        <v>678</v>
      </c>
      <c r="R14" s="35" t="s">
        <v>14</v>
      </c>
    </row>
    <row r="15" spans="1:18" s="58" customFormat="1">
      <c r="A15" s="58" t="s">
        <v>14</v>
      </c>
      <c r="B15" s="58" t="s">
        <v>31</v>
      </c>
      <c r="C15" s="58">
        <v>5</v>
      </c>
      <c r="D15" s="58" t="s">
        <v>662</v>
      </c>
      <c r="E15" s="58" t="s">
        <v>674</v>
      </c>
      <c r="N15" s="58" t="s">
        <v>66</v>
      </c>
      <c r="R15" s="59" t="s">
        <v>14</v>
      </c>
    </row>
    <row r="16" spans="1:18" s="34" customFormat="1">
      <c r="A16" s="34" t="s">
        <v>14</v>
      </c>
      <c r="B16" s="34" t="s">
        <v>31</v>
      </c>
      <c r="C16" s="34">
        <v>5</v>
      </c>
      <c r="D16" s="34" t="s">
        <v>663</v>
      </c>
      <c r="E16" s="34" t="s">
        <v>647</v>
      </c>
      <c r="N16" s="34" t="s">
        <v>66</v>
      </c>
      <c r="R16" s="35" t="s">
        <v>14</v>
      </c>
    </row>
    <row r="17" spans="1:18" s="34" customFormat="1">
      <c r="A17" s="34" t="s">
        <v>14</v>
      </c>
      <c r="B17" s="34" t="s">
        <v>31</v>
      </c>
      <c r="C17" s="34">
        <v>5</v>
      </c>
      <c r="D17" s="34" t="s">
        <v>664</v>
      </c>
      <c r="E17" s="34" t="s">
        <v>647</v>
      </c>
      <c r="N17" s="34" t="s">
        <v>678</v>
      </c>
      <c r="R17" s="35" t="s">
        <v>14</v>
      </c>
    </row>
    <row r="18" spans="1:18" s="34" customFormat="1">
      <c r="A18" s="34" t="s">
        <v>14</v>
      </c>
      <c r="B18" s="34" t="s">
        <v>31</v>
      </c>
      <c r="C18" s="34">
        <v>5</v>
      </c>
      <c r="D18" s="34" t="s">
        <v>665</v>
      </c>
      <c r="E18" s="34" t="s">
        <v>675</v>
      </c>
      <c r="N18" s="34" t="s">
        <v>66</v>
      </c>
      <c r="R18" s="35" t="s">
        <v>14</v>
      </c>
    </row>
    <row r="19" spans="1:18" s="34" customFormat="1">
      <c r="A19" s="34" t="s">
        <v>14</v>
      </c>
      <c r="B19" s="34" t="s">
        <v>31</v>
      </c>
      <c r="C19" s="34">
        <v>5</v>
      </c>
      <c r="D19" s="34" t="s">
        <v>666</v>
      </c>
      <c r="E19" s="34" t="s">
        <v>646</v>
      </c>
      <c r="N19" s="34" t="s">
        <v>66</v>
      </c>
      <c r="R19" s="35" t="s">
        <v>14</v>
      </c>
    </row>
    <row r="20" spans="1:18" s="34" customFormat="1">
      <c r="A20" s="34" t="s">
        <v>14</v>
      </c>
      <c r="B20" s="34" t="s">
        <v>31</v>
      </c>
      <c r="C20" s="34">
        <v>5</v>
      </c>
      <c r="D20" s="34" t="s">
        <v>667</v>
      </c>
      <c r="E20" s="34" t="s">
        <v>646</v>
      </c>
      <c r="N20" s="34" t="s">
        <v>678</v>
      </c>
      <c r="R20" s="35" t="s">
        <v>14</v>
      </c>
    </row>
    <row r="21" spans="1:18" s="58" customFormat="1">
      <c r="A21" s="58" t="s">
        <v>14</v>
      </c>
      <c r="B21" s="58" t="s">
        <v>31</v>
      </c>
      <c r="C21" s="58">
        <v>5</v>
      </c>
      <c r="D21" s="58" t="s">
        <v>668</v>
      </c>
      <c r="E21" s="58" t="s">
        <v>676</v>
      </c>
      <c r="N21" s="58" t="s">
        <v>66</v>
      </c>
      <c r="R21" s="59" t="s">
        <v>14</v>
      </c>
    </row>
    <row r="22" spans="1:18" s="34" customFormat="1">
      <c r="A22" s="34" t="s">
        <v>14</v>
      </c>
      <c r="B22" s="34" t="s">
        <v>31</v>
      </c>
      <c r="C22" s="34">
        <v>5</v>
      </c>
      <c r="D22" s="34" t="s">
        <v>669</v>
      </c>
      <c r="E22" s="34" t="s">
        <v>648</v>
      </c>
      <c r="N22" s="34" t="s">
        <v>66</v>
      </c>
      <c r="R22" s="35" t="s">
        <v>14</v>
      </c>
    </row>
    <row r="23" spans="1:18" s="34" customFormat="1">
      <c r="A23" s="34" t="s">
        <v>14</v>
      </c>
      <c r="B23" s="34" t="s">
        <v>31</v>
      </c>
      <c r="C23" s="34">
        <v>5</v>
      </c>
      <c r="D23" s="34" t="s">
        <v>670</v>
      </c>
      <c r="E23" s="34" t="s">
        <v>648</v>
      </c>
      <c r="N23" s="34" t="s">
        <v>678</v>
      </c>
      <c r="R23" s="35" t="s">
        <v>14</v>
      </c>
    </row>
    <row r="24" spans="1:18" s="34" customFormat="1">
      <c r="A24" s="34" t="s">
        <v>14</v>
      </c>
      <c r="B24" s="34" t="s">
        <v>31</v>
      </c>
      <c r="C24" s="34">
        <v>5</v>
      </c>
      <c r="D24" s="34" t="s">
        <v>671</v>
      </c>
      <c r="E24" s="34" t="s">
        <v>677</v>
      </c>
      <c r="N24" s="34" t="s">
        <v>66</v>
      </c>
      <c r="R24" s="35" t="s">
        <v>14</v>
      </c>
    </row>
    <row r="25" spans="1:18" s="34" customFormat="1">
      <c r="A25" s="34" t="s">
        <v>14</v>
      </c>
      <c r="B25" s="34" t="s">
        <v>31</v>
      </c>
      <c r="C25" s="34">
        <v>5</v>
      </c>
      <c r="D25" s="34" t="s">
        <v>672</v>
      </c>
      <c r="E25" s="34" t="s">
        <v>645</v>
      </c>
      <c r="N25" s="34" t="s">
        <v>66</v>
      </c>
      <c r="R25" s="35" t="s">
        <v>14</v>
      </c>
    </row>
    <row r="26" spans="1:18" s="34" customFormat="1">
      <c r="A26" s="34" t="s">
        <v>14</v>
      </c>
      <c r="B26" s="34" t="s">
        <v>31</v>
      </c>
      <c r="C26" s="34">
        <v>5</v>
      </c>
      <c r="D26" s="34" t="s">
        <v>673</v>
      </c>
      <c r="E26" s="34" t="s">
        <v>645</v>
      </c>
      <c r="N26" s="34" t="s">
        <v>678</v>
      </c>
      <c r="R26" s="35" t="s">
        <v>14</v>
      </c>
    </row>
    <row r="27" spans="1:18" s="56" customFormat="1">
      <c r="A27" s="56" t="s">
        <v>14</v>
      </c>
      <c r="B27" s="56" t="s">
        <v>31</v>
      </c>
      <c r="C27" s="56">
        <v>6</v>
      </c>
      <c r="D27" s="56" t="s">
        <v>204</v>
      </c>
      <c r="E27" s="56" t="s">
        <v>683</v>
      </c>
      <c r="N27" s="56" t="s">
        <v>66</v>
      </c>
      <c r="R27" s="57" t="s">
        <v>14</v>
      </c>
    </row>
    <row r="28" spans="1:18" s="34" customFormat="1">
      <c r="A28" s="34" t="s">
        <v>14</v>
      </c>
      <c r="B28" s="34" t="s">
        <v>31</v>
      </c>
      <c r="C28" s="34">
        <v>6</v>
      </c>
      <c r="D28" s="34" t="s">
        <v>206</v>
      </c>
      <c r="E28" s="34" t="s">
        <v>683</v>
      </c>
      <c r="N28" s="34" t="s">
        <v>678</v>
      </c>
      <c r="R28" s="35" t="s">
        <v>14</v>
      </c>
    </row>
    <row r="29" spans="1:18" s="34" customFormat="1">
      <c r="A29" s="34" t="s">
        <v>14</v>
      </c>
      <c r="B29" s="34" t="s">
        <v>31</v>
      </c>
      <c r="C29" s="34">
        <v>6</v>
      </c>
      <c r="D29" s="34" t="s">
        <v>250</v>
      </c>
      <c r="E29" s="34" t="s">
        <v>684</v>
      </c>
      <c r="N29" s="34" t="s">
        <v>66</v>
      </c>
      <c r="R29" s="35" t="s">
        <v>14</v>
      </c>
    </row>
    <row r="30" spans="1:18" s="34" customFormat="1">
      <c r="A30" s="34" t="s">
        <v>14</v>
      </c>
      <c r="B30" s="34" t="s">
        <v>31</v>
      </c>
      <c r="C30" s="34">
        <v>6</v>
      </c>
      <c r="D30" s="34" t="s">
        <v>252</v>
      </c>
      <c r="E30" s="34" t="s">
        <v>684</v>
      </c>
      <c r="N30" s="34" t="s">
        <v>678</v>
      </c>
      <c r="R30" s="35" t="s">
        <v>14</v>
      </c>
    </row>
    <row r="31" spans="1:18" s="58" customFormat="1">
      <c r="A31" s="58" t="s">
        <v>14</v>
      </c>
      <c r="B31" s="58" t="s">
        <v>31</v>
      </c>
      <c r="C31" s="58">
        <v>6</v>
      </c>
      <c r="D31" s="58" t="s">
        <v>679</v>
      </c>
      <c r="E31" s="58" t="s">
        <v>685</v>
      </c>
      <c r="N31" s="58" t="s">
        <v>66</v>
      </c>
      <c r="R31" s="59" t="s">
        <v>14</v>
      </c>
    </row>
    <row r="32" spans="1:18" s="34" customFormat="1">
      <c r="A32" s="34" t="s">
        <v>14</v>
      </c>
      <c r="B32" s="34" t="s">
        <v>31</v>
      </c>
      <c r="C32" s="34">
        <v>6</v>
      </c>
      <c r="D32" s="34" t="s">
        <v>680</v>
      </c>
      <c r="E32" s="34" t="s">
        <v>685</v>
      </c>
      <c r="N32" s="34" t="s">
        <v>678</v>
      </c>
      <c r="R32" s="35" t="s">
        <v>14</v>
      </c>
    </row>
    <row r="33" spans="1:18" s="34" customFormat="1">
      <c r="A33" s="34" t="s">
        <v>14</v>
      </c>
      <c r="B33" s="34" t="s">
        <v>31</v>
      </c>
      <c r="C33" s="34">
        <v>6</v>
      </c>
      <c r="D33" s="34" t="s">
        <v>681</v>
      </c>
      <c r="E33" s="34" t="s">
        <v>686</v>
      </c>
      <c r="N33" s="34" t="s">
        <v>66</v>
      </c>
      <c r="R33" s="35" t="s">
        <v>14</v>
      </c>
    </row>
    <row r="34" spans="1:18" s="34" customFormat="1">
      <c r="A34" s="34" t="s">
        <v>14</v>
      </c>
      <c r="B34" s="34" t="s">
        <v>31</v>
      </c>
      <c r="C34" s="34">
        <v>6</v>
      </c>
      <c r="D34" s="34" t="s">
        <v>682</v>
      </c>
      <c r="E34" s="34" t="s">
        <v>686</v>
      </c>
      <c r="N34" s="34" t="s">
        <v>678</v>
      </c>
      <c r="R34" s="35" t="s">
        <v>14</v>
      </c>
    </row>
    <row r="35" spans="1:18" s="58" customFormat="1">
      <c r="A35" s="58" t="s">
        <v>14</v>
      </c>
      <c r="B35" s="58" t="s">
        <v>31</v>
      </c>
      <c r="C35" s="58">
        <v>6</v>
      </c>
      <c r="D35" s="58" t="s">
        <v>229</v>
      </c>
      <c r="E35" s="58" t="s">
        <v>699</v>
      </c>
      <c r="N35" s="58" t="s">
        <v>66</v>
      </c>
      <c r="R35" s="59" t="s">
        <v>14</v>
      </c>
    </row>
    <row r="36" spans="1:18" s="34" customFormat="1">
      <c r="A36" s="34" t="s">
        <v>14</v>
      </c>
      <c r="B36" s="34" t="s">
        <v>31</v>
      </c>
      <c r="C36" s="34">
        <v>6</v>
      </c>
      <c r="D36" s="34" t="s">
        <v>231</v>
      </c>
      <c r="E36" s="34" t="s">
        <v>699</v>
      </c>
      <c r="N36" s="34" t="s">
        <v>678</v>
      </c>
      <c r="R36" s="35" t="s">
        <v>14</v>
      </c>
    </row>
    <row r="37" spans="1:18" s="34" customFormat="1">
      <c r="A37" s="34" t="s">
        <v>14</v>
      </c>
      <c r="B37" s="34" t="s">
        <v>31</v>
      </c>
      <c r="C37" s="34">
        <v>6</v>
      </c>
      <c r="D37" s="34" t="s">
        <v>257</v>
      </c>
      <c r="E37" s="34" t="s">
        <v>707</v>
      </c>
      <c r="N37" s="34" t="s">
        <v>66</v>
      </c>
      <c r="R37" s="35" t="s">
        <v>14</v>
      </c>
    </row>
    <row r="38" spans="1:18" s="34" customFormat="1">
      <c r="A38" s="34" t="s">
        <v>14</v>
      </c>
      <c r="B38" s="34" t="s">
        <v>31</v>
      </c>
      <c r="C38" s="34">
        <v>6</v>
      </c>
      <c r="D38" s="34" t="s">
        <v>260</v>
      </c>
      <c r="E38" s="34" t="s">
        <v>707</v>
      </c>
      <c r="N38" s="34" t="s">
        <v>678</v>
      </c>
      <c r="R38" s="35" t="s">
        <v>14</v>
      </c>
    </row>
    <row r="39" spans="1:18" s="58" customFormat="1">
      <c r="A39" s="58" t="s">
        <v>14</v>
      </c>
      <c r="B39" s="58" t="s">
        <v>31</v>
      </c>
      <c r="C39" s="58">
        <v>6</v>
      </c>
      <c r="D39" s="58" t="s">
        <v>232</v>
      </c>
      <c r="E39" s="58" t="s">
        <v>700</v>
      </c>
      <c r="N39" s="58" t="s">
        <v>66</v>
      </c>
      <c r="R39" s="59" t="s">
        <v>14</v>
      </c>
    </row>
    <row r="40" spans="1:18" s="34" customFormat="1">
      <c r="A40" s="34" t="s">
        <v>14</v>
      </c>
      <c r="B40" s="34" t="s">
        <v>31</v>
      </c>
      <c r="C40" s="34">
        <v>6</v>
      </c>
      <c r="D40" s="34" t="s">
        <v>234</v>
      </c>
      <c r="E40" s="34" t="s">
        <v>700</v>
      </c>
      <c r="N40" s="34" t="s">
        <v>678</v>
      </c>
      <c r="R40" s="35" t="s">
        <v>14</v>
      </c>
    </row>
    <row r="41" spans="1:18" s="34" customFormat="1">
      <c r="A41" s="34" t="s">
        <v>14</v>
      </c>
      <c r="B41" s="34" t="s">
        <v>31</v>
      </c>
      <c r="C41" s="34">
        <v>6</v>
      </c>
      <c r="D41" s="34" t="s">
        <v>261</v>
      </c>
      <c r="E41" s="34" t="s">
        <v>708</v>
      </c>
      <c r="N41" s="34" t="s">
        <v>66</v>
      </c>
      <c r="R41" s="35" t="s">
        <v>14</v>
      </c>
    </row>
    <row r="42" spans="1:18" s="34" customFormat="1">
      <c r="A42" s="34" t="s">
        <v>14</v>
      </c>
      <c r="B42" s="34" t="s">
        <v>31</v>
      </c>
      <c r="C42" s="34">
        <v>6</v>
      </c>
      <c r="D42" s="34" t="s">
        <v>264</v>
      </c>
      <c r="E42" s="34" t="s">
        <v>708</v>
      </c>
      <c r="N42" s="34" t="s">
        <v>678</v>
      </c>
      <c r="R42" s="35" t="s">
        <v>14</v>
      </c>
    </row>
    <row r="43" spans="1:18" s="58" customFormat="1">
      <c r="A43" s="58" t="s">
        <v>14</v>
      </c>
      <c r="B43" s="58" t="s">
        <v>31</v>
      </c>
      <c r="C43" s="58">
        <v>6</v>
      </c>
      <c r="D43" s="58" t="s">
        <v>238</v>
      </c>
      <c r="E43" s="58" t="s">
        <v>701</v>
      </c>
      <c r="N43" s="58" t="s">
        <v>66</v>
      </c>
      <c r="R43" s="59" t="s">
        <v>14</v>
      </c>
    </row>
    <row r="44" spans="1:18" s="34" customFormat="1">
      <c r="A44" s="34" t="s">
        <v>14</v>
      </c>
      <c r="B44" s="34" t="s">
        <v>31</v>
      </c>
      <c r="C44" s="34">
        <v>6</v>
      </c>
      <c r="D44" s="34" t="s">
        <v>240</v>
      </c>
      <c r="E44" s="34" t="s">
        <v>701</v>
      </c>
      <c r="N44" s="34" t="s">
        <v>678</v>
      </c>
      <c r="R44" s="35" t="s">
        <v>14</v>
      </c>
    </row>
    <row r="45" spans="1:18" s="34" customFormat="1">
      <c r="A45" s="34" t="s">
        <v>14</v>
      </c>
      <c r="B45" s="34" t="s">
        <v>31</v>
      </c>
      <c r="C45" s="34">
        <v>6</v>
      </c>
      <c r="D45" s="34" t="s">
        <v>269</v>
      </c>
      <c r="E45" s="34" t="s">
        <v>713</v>
      </c>
      <c r="N45" s="34" t="s">
        <v>66</v>
      </c>
      <c r="R45" s="35" t="s">
        <v>14</v>
      </c>
    </row>
    <row r="46" spans="1:18" s="34" customFormat="1">
      <c r="A46" s="34" t="s">
        <v>14</v>
      </c>
      <c r="B46" s="34" t="s">
        <v>31</v>
      </c>
      <c r="C46" s="34">
        <v>6</v>
      </c>
      <c r="D46" s="34" t="s">
        <v>272</v>
      </c>
      <c r="E46" s="34" t="s">
        <v>713</v>
      </c>
      <c r="N46" s="34" t="s">
        <v>678</v>
      </c>
      <c r="R46" s="35" t="s">
        <v>14</v>
      </c>
    </row>
    <row r="47" spans="1:18" s="58" customFormat="1">
      <c r="A47" s="58" t="s">
        <v>14</v>
      </c>
      <c r="B47" s="58" t="s">
        <v>31</v>
      </c>
      <c r="C47" s="58">
        <v>6</v>
      </c>
      <c r="D47" s="58" t="s">
        <v>687</v>
      </c>
      <c r="E47" s="58" t="s">
        <v>702</v>
      </c>
      <c r="N47" s="58" t="s">
        <v>66</v>
      </c>
      <c r="R47" s="59" t="s">
        <v>14</v>
      </c>
    </row>
    <row r="48" spans="1:18" s="34" customFormat="1">
      <c r="A48" s="34" t="s">
        <v>14</v>
      </c>
      <c r="B48" s="34" t="s">
        <v>31</v>
      </c>
      <c r="C48" s="34">
        <v>6</v>
      </c>
      <c r="D48" s="34" t="s">
        <v>688</v>
      </c>
      <c r="E48" s="34" t="s">
        <v>702</v>
      </c>
      <c r="N48" s="34" t="s">
        <v>678</v>
      </c>
      <c r="R48" s="35" t="s">
        <v>14</v>
      </c>
    </row>
    <row r="49" spans="1:18" s="34" customFormat="1">
      <c r="A49" s="34" t="s">
        <v>14</v>
      </c>
      <c r="B49" s="34" t="s">
        <v>31</v>
      </c>
      <c r="C49" s="34">
        <v>6</v>
      </c>
      <c r="D49" s="34" t="s">
        <v>689</v>
      </c>
      <c r="E49" s="34" t="s">
        <v>712</v>
      </c>
      <c r="N49" s="34" t="s">
        <v>66</v>
      </c>
      <c r="R49" s="35" t="s">
        <v>14</v>
      </c>
    </row>
    <row r="50" spans="1:18" s="34" customFormat="1">
      <c r="A50" s="34" t="s">
        <v>14</v>
      </c>
      <c r="B50" s="34" t="s">
        <v>31</v>
      </c>
      <c r="C50" s="34">
        <v>6</v>
      </c>
      <c r="D50" s="34" t="s">
        <v>690</v>
      </c>
      <c r="E50" s="34" t="s">
        <v>712</v>
      </c>
      <c r="N50" s="34" t="s">
        <v>678</v>
      </c>
      <c r="R50" s="35" t="s">
        <v>14</v>
      </c>
    </row>
    <row r="51" spans="1:18" s="58" customFormat="1">
      <c r="A51" s="58" t="s">
        <v>14</v>
      </c>
      <c r="B51" s="58" t="s">
        <v>31</v>
      </c>
      <c r="C51" s="58">
        <v>6</v>
      </c>
      <c r="D51" s="58" t="s">
        <v>691</v>
      </c>
      <c r="E51" s="58" t="s">
        <v>703</v>
      </c>
      <c r="N51" s="58" t="s">
        <v>66</v>
      </c>
      <c r="R51" s="59" t="s">
        <v>14</v>
      </c>
    </row>
    <row r="52" spans="1:18" s="34" customFormat="1">
      <c r="A52" s="34" t="s">
        <v>14</v>
      </c>
      <c r="B52" s="34" t="s">
        <v>31</v>
      </c>
      <c r="C52" s="34">
        <v>6</v>
      </c>
      <c r="D52" s="34" t="s">
        <v>692</v>
      </c>
      <c r="E52" s="34" t="s">
        <v>703</v>
      </c>
      <c r="N52" s="34" t="s">
        <v>678</v>
      </c>
      <c r="R52" s="35" t="s">
        <v>14</v>
      </c>
    </row>
    <row r="53" spans="1:18" s="34" customFormat="1">
      <c r="A53" s="34" t="s">
        <v>14</v>
      </c>
      <c r="B53" s="34" t="s">
        <v>31</v>
      </c>
      <c r="C53" s="34">
        <v>6</v>
      </c>
      <c r="D53" s="34" t="s">
        <v>693</v>
      </c>
      <c r="E53" s="34" t="s">
        <v>711</v>
      </c>
      <c r="N53" s="34" t="s">
        <v>66</v>
      </c>
      <c r="R53" s="35" t="s">
        <v>14</v>
      </c>
    </row>
    <row r="54" spans="1:18" s="34" customFormat="1">
      <c r="A54" s="34" t="s">
        <v>14</v>
      </c>
      <c r="B54" s="34" t="s">
        <v>31</v>
      </c>
      <c r="C54" s="34">
        <v>6</v>
      </c>
      <c r="D54" s="34" t="s">
        <v>694</v>
      </c>
      <c r="E54" s="34" t="s">
        <v>711</v>
      </c>
      <c r="N54" s="34" t="s">
        <v>678</v>
      </c>
      <c r="R54" s="35" t="s">
        <v>14</v>
      </c>
    </row>
    <row r="55" spans="1:18" s="58" customFormat="1">
      <c r="A55" s="58" t="s">
        <v>14</v>
      </c>
      <c r="B55" s="58" t="s">
        <v>31</v>
      </c>
      <c r="C55" s="58">
        <v>6</v>
      </c>
      <c r="D55" s="58" t="s">
        <v>244</v>
      </c>
      <c r="E55" s="58" t="s">
        <v>704</v>
      </c>
      <c r="N55" s="58" t="s">
        <v>66</v>
      </c>
      <c r="R55" s="59" t="s">
        <v>14</v>
      </c>
    </row>
    <row r="56" spans="1:18" s="34" customFormat="1">
      <c r="A56" s="34" t="s">
        <v>14</v>
      </c>
      <c r="B56" s="34" t="s">
        <v>31</v>
      </c>
      <c r="C56" s="34">
        <v>6</v>
      </c>
      <c r="D56" s="34" t="s">
        <v>246</v>
      </c>
      <c r="E56" s="34" t="s">
        <v>704</v>
      </c>
      <c r="N56" s="34" t="s">
        <v>678</v>
      </c>
      <c r="R56" s="35" t="s">
        <v>14</v>
      </c>
    </row>
    <row r="57" spans="1:18" s="34" customFormat="1">
      <c r="A57" s="34" t="s">
        <v>14</v>
      </c>
      <c r="B57" s="34" t="s">
        <v>31</v>
      </c>
      <c r="C57" s="34">
        <v>6</v>
      </c>
      <c r="D57" s="34" t="s">
        <v>277</v>
      </c>
      <c r="E57" s="34" t="s">
        <v>710</v>
      </c>
      <c r="N57" s="34" t="s">
        <v>66</v>
      </c>
      <c r="R57" s="35" t="s">
        <v>14</v>
      </c>
    </row>
    <row r="58" spans="1:18" s="34" customFormat="1">
      <c r="A58" s="34" t="s">
        <v>14</v>
      </c>
      <c r="B58" s="34" t="s">
        <v>31</v>
      </c>
      <c r="C58" s="34">
        <v>6</v>
      </c>
      <c r="D58" s="34" t="s">
        <v>280</v>
      </c>
      <c r="E58" s="34" t="s">
        <v>710</v>
      </c>
      <c r="N58" s="34" t="s">
        <v>678</v>
      </c>
      <c r="R58" s="35" t="s">
        <v>14</v>
      </c>
    </row>
    <row r="59" spans="1:18" s="58" customFormat="1">
      <c r="A59" s="58" t="s">
        <v>14</v>
      </c>
      <c r="B59" s="58" t="s">
        <v>31</v>
      </c>
      <c r="C59" s="58">
        <v>6</v>
      </c>
      <c r="D59" s="58" t="s">
        <v>695</v>
      </c>
      <c r="E59" s="58" t="s">
        <v>705</v>
      </c>
      <c r="N59" s="58" t="s">
        <v>66</v>
      </c>
      <c r="R59" s="59" t="s">
        <v>14</v>
      </c>
    </row>
    <row r="60" spans="1:18" s="34" customFormat="1">
      <c r="A60" s="34" t="s">
        <v>14</v>
      </c>
      <c r="B60" s="34" t="s">
        <v>31</v>
      </c>
      <c r="C60" s="34">
        <v>6</v>
      </c>
      <c r="D60" s="34" t="s">
        <v>696</v>
      </c>
      <c r="E60" s="34" t="s">
        <v>705</v>
      </c>
      <c r="N60" s="34" t="s">
        <v>678</v>
      </c>
      <c r="R60" s="35" t="s">
        <v>14</v>
      </c>
    </row>
    <row r="61" spans="1:18" s="34" customFormat="1">
      <c r="A61" s="34" t="s">
        <v>14</v>
      </c>
      <c r="B61" s="34" t="s">
        <v>31</v>
      </c>
      <c r="C61" s="34">
        <v>6</v>
      </c>
      <c r="D61" s="34" t="s">
        <v>697</v>
      </c>
      <c r="E61" s="34" t="s">
        <v>709</v>
      </c>
      <c r="N61" s="34" t="s">
        <v>66</v>
      </c>
      <c r="R61" s="35" t="s">
        <v>14</v>
      </c>
    </row>
    <row r="62" spans="1:18" s="34" customFormat="1">
      <c r="A62" s="34" t="s">
        <v>14</v>
      </c>
      <c r="B62" s="34" t="s">
        <v>31</v>
      </c>
      <c r="C62" s="34">
        <v>6</v>
      </c>
      <c r="D62" s="34" t="s">
        <v>698</v>
      </c>
      <c r="E62" s="34" t="s">
        <v>709</v>
      </c>
      <c r="N62" s="34" t="s">
        <v>678</v>
      </c>
      <c r="R62" s="35" t="s">
        <v>14</v>
      </c>
    </row>
    <row r="63" spans="1:18" s="56" customFormat="1">
      <c r="A63" s="56" t="s">
        <v>14</v>
      </c>
      <c r="B63" s="56" t="s">
        <v>31</v>
      </c>
      <c r="C63" s="56">
        <v>7</v>
      </c>
      <c r="D63" s="56" t="s">
        <v>60</v>
      </c>
      <c r="E63" s="56" t="s">
        <v>660</v>
      </c>
      <c r="N63" s="56" t="s">
        <v>88</v>
      </c>
      <c r="R63" s="57" t="s">
        <v>14</v>
      </c>
    </row>
    <row r="64" spans="1:18" s="34" customFormat="1">
      <c r="A64" s="34" t="s">
        <v>14</v>
      </c>
      <c r="B64" s="34" t="s">
        <v>31</v>
      </c>
      <c r="C64" s="34">
        <v>7</v>
      </c>
      <c r="D64" s="34" t="s">
        <v>61</v>
      </c>
      <c r="E64" s="34" t="s">
        <v>660</v>
      </c>
      <c r="N64" s="34" t="s">
        <v>89</v>
      </c>
      <c r="R64" s="35" t="s">
        <v>14</v>
      </c>
    </row>
    <row r="65" spans="1:18" s="34" customFormat="1">
      <c r="A65" s="34" t="s">
        <v>14</v>
      </c>
      <c r="B65" s="34" t="s">
        <v>31</v>
      </c>
      <c r="C65" s="34">
        <v>7</v>
      </c>
      <c r="D65" s="34" t="s">
        <v>62</v>
      </c>
      <c r="E65" s="34" t="s">
        <v>660</v>
      </c>
      <c r="N65" s="34" t="s">
        <v>90</v>
      </c>
      <c r="R65" s="35" t="s">
        <v>14</v>
      </c>
    </row>
    <row r="66" spans="1:18" s="34" customFormat="1">
      <c r="A66" s="34" t="s">
        <v>14</v>
      </c>
      <c r="B66" s="34" t="s">
        <v>31</v>
      </c>
      <c r="C66" s="34">
        <v>7</v>
      </c>
      <c r="D66" s="34" t="s">
        <v>82</v>
      </c>
      <c r="E66" s="34" t="s">
        <v>660</v>
      </c>
      <c r="N66" s="34" t="s">
        <v>91</v>
      </c>
      <c r="R66" s="35" t="s">
        <v>14</v>
      </c>
    </row>
    <row r="67" spans="1:18" s="34" customFormat="1">
      <c r="A67" s="34" t="s">
        <v>14</v>
      </c>
      <c r="B67" s="34" t="s">
        <v>31</v>
      </c>
      <c r="C67" s="34">
        <v>7</v>
      </c>
      <c r="D67" s="34" t="s">
        <v>85</v>
      </c>
      <c r="E67" s="34" t="s">
        <v>660</v>
      </c>
      <c r="N67" s="34" t="s">
        <v>92</v>
      </c>
      <c r="R67" s="35" t="s">
        <v>14</v>
      </c>
    </row>
    <row r="68" spans="1:18" s="34" customFormat="1">
      <c r="A68" s="34" t="s">
        <v>14</v>
      </c>
      <c r="B68" s="34" t="s">
        <v>31</v>
      </c>
      <c r="C68" s="34">
        <v>7</v>
      </c>
      <c r="D68" s="34" t="s">
        <v>79</v>
      </c>
      <c r="E68" s="34" t="s">
        <v>655</v>
      </c>
      <c r="N68" s="34" t="s">
        <v>88</v>
      </c>
      <c r="R68" s="35" t="s">
        <v>14</v>
      </c>
    </row>
    <row r="69" spans="1:18" s="34" customFormat="1">
      <c r="A69" s="34" t="s">
        <v>14</v>
      </c>
      <c r="B69" s="34" t="s">
        <v>31</v>
      </c>
      <c r="C69" s="34">
        <v>7</v>
      </c>
      <c r="D69" s="34" t="s">
        <v>80</v>
      </c>
      <c r="E69" s="34" t="s">
        <v>655</v>
      </c>
      <c r="N69" s="34" t="s">
        <v>89</v>
      </c>
      <c r="R69" s="35" t="s">
        <v>14</v>
      </c>
    </row>
    <row r="70" spans="1:18" s="34" customFormat="1">
      <c r="A70" s="34" t="s">
        <v>14</v>
      </c>
      <c r="B70" s="34" t="s">
        <v>31</v>
      </c>
      <c r="C70" s="34">
        <v>7</v>
      </c>
      <c r="D70" s="34" t="s">
        <v>81</v>
      </c>
      <c r="E70" s="34" t="s">
        <v>655</v>
      </c>
      <c r="N70" s="34" t="s">
        <v>90</v>
      </c>
      <c r="R70" s="35" t="s">
        <v>14</v>
      </c>
    </row>
    <row r="71" spans="1:18" s="34" customFormat="1">
      <c r="A71" s="34" t="s">
        <v>14</v>
      </c>
      <c r="B71" s="34" t="s">
        <v>31</v>
      </c>
      <c r="C71" s="34">
        <v>7</v>
      </c>
      <c r="D71" s="34" t="s">
        <v>83</v>
      </c>
      <c r="E71" s="34" t="s">
        <v>655</v>
      </c>
      <c r="N71" s="34" t="s">
        <v>91</v>
      </c>
      <c r="R71" s="35" t="s">
        <v>14</v>
      </c>
    </row>
    <row r="72" spans="1:18" s="34" customFormat="1">
      <c r="A72" s="34" t="s">
        <v>14</v>
      </c>
      <c r="B72" s="34" t="s">
        <v>31</v>
      </c>
      <c r="C72" s="34">
        <v>7</v>
      </c>
      <c r="D72" s="34" t="s">
        <v>86</v>
      </c>
      <c r="E72" s="34" t="s">
        <v>655</v>
      </c>
      <c r="N72" s="34" t="s">
        <v>92</v>
      </c>
      <c r="R72" s="35" t="s">
        <v>14</v>
      </c>
    </row>
    <row r="73" spans="1:18" s="34" customFormat="1">
      <c r="A73" s="34" t="s">
        <v>14</v>
      </c>
      <c r="B73" s="34" t="s">
        <v>27</v>
      </c>
      <c r="C73" s="34">
        <v>7</v>
      </c>
      <c r="D73" s="34" t="s">
        <v>706</v>
      </c>
      <c r="E73" s="34" t="s">
        <v>647</v>
      </c>
      <c r="F73" s="34" t="s">
        <v>648</v>
      </c>
      <c r="R73" s="35" t="s">
        <v>14</v>
      </c>
    </row>
    <row r="74" spans="1:18" s="56" customFormat="1">
      <c r="A74" s="56" t="s">
        <v>14</v>
      </c>
      <c r="B74" s="56" t="s">
        <v>31</v>
      </c>
      <c r="C74" s="56">
        <v>8</v>
      </c>
      <c r="D74" s="56" t="s">
        <v>60</v>
      </c>
      <c r="E74" s="56" t="s">
        <v>661</v>
      </c>
      <c r="N74" s="56" t="s">
        <v>88</v>
      </c>
      <c r="R74" s="57" t="s">
        <v>14</v>
      </c>
    </row>
    <row r="75" spans="1:18" s="34" customFormat="1">
      <c r="A75" s="34" t="s">
        <v>14</v>
      </c>
      <c r="B75" s="34" t="s">
        <v>31</v>
      </c>
      <c r="C75" s="34">
        <v>8</v>
      </c>
      <c r="D75" s="34" t="s">
        <v>61</v>
      </c>
      <c r="E75" s="34" t="s">
        <v>661</v>
      </c>
      <c r="N75" s="34" t="s">
        <v>89</v>
      </c>
      <c r="R75" s="35" t="s">
        <v>14</v>
      </c>
    </row>
    <row r="76" spans="1:18" s="34" customFormat="1">
      <c r="A76" s="34" t="s">
        <v>14</v>
      </c>
      <c r="B76" s="34" t="s">
        <v>31</v>
      </c>
      <c r="C76" s="34">
        <v>8</v>
      </c>
      <c r="D76" s="34" t="s">
        <v>62</v>
      </c>
      <c r="E76" s="34" t="s">
        <v>661</v>
      </c>
      <c r="N76" s="34" t="s">
        <v>90</v>
      </c>
      <c r="R76" s="35" t="s">
        <v>14</v>
      </c>
    </row>
    <row r="77" spans="1:18" s="34" customFormat="1">
      <c r="A77" s="34" t="s">
        <v>14</v>
      </c>
      <c r="B77" s="34" t="s">
        <v>31</v>
      </c>
      <c r="C77" s="34">
        <v>8</v>
      </c>
      <c r="D77" s="34" t="s">
        <v>82</v>
      </c>
      <c r="E77" s="34" t="s">
        <v>661</v>
      </c>
      <c r="N77" s="34" t="s">
        <v>91</v>
      </c>
      <c r="R77" s="35" t="s">
        <v>14</v>
      </c>
    </row>
    <row r="78" spans="1:18" s="34" customFormat="1">
      <c r="A78" s="34" t="s">
        <v>14</v>
      </c>
      <c r="B78" s="34" t="s">
        <v>31</v>
      </c>
      <c r="C78" s="34">
        <v>8</v>
      </c>
      <c r="D78" s="34" t="s">
        <v>85</v>
      </c>
      <c r="E78" s="34" t="s">
        <v>661</v>
      </c>
      <c r="N78" s="34" t="s">
        <v>92</v>
      </c>
      <c r="R78" s="35" t="s">
        <v>14</v>
      </c>
    </row>
    <row r="79" spans="1:18" s="34" customFormat="1">
      <c r="A79" s="34" t="s">
        <v>14</v>
      </c>
      <c r="B79" s="34" t="s">
        <v>31</v>
      </c>
      <c r="C79" s="34">
        <v>8</v>
      </c>
      <c r="D79" s="34" t="s">
        <v>79</v>
      </c>
      <c r="E79" s="34" t="s">
        <v>656</v>
      </c>
      <c r="N79" s="34" t="s">
        <v>88</v>
      </c>
      <c r="R79" s="35" t="s">
        <v>14</v>
      </c>
    </row>
    <row r="80" spans="1:18" s="34" customFormat="1">
      <c r="A80" s="34" t="s">
        <v>14</v>
      </c>
      <c r="B80" s="34" t="s">
        <v>31</v>
      </c>
      <c r="C80" s="34">
        <v>8</v>
      </c>
      <c r="D80" s="34" t="s">
        <v>80</v>
      </c>
      <c r="E80" s="34" t="s">
        <v>656</v>
      </c>
      <c r="N80" s="34" t="s">
        <v>89</v>
      </c>
      <c r="R80" s="35" t="s">
        <v>14</v>
      </c>
    </row>
    <row r="81" spans="1:18" s="34" customFormat="1">
      <c r="A81" s="34" t="s">
        <v>14</v>
      </c>
      <c r="B81" s="34" t="s">
        <v>31</v>
      </c>
      <c r="C81" s="34">
        <v>8</v>
      </c>
      <c r="D81" s="34" t="s">
        <v>81</v>
      </c>
      <c r="E81" s="34" t="s">
        <v>656</v>
      </c>
      <c r="N81" s="34" t="s">
        <v>90</v>
      </c>
      <c r="R81" s="35" t="s">
        <v>14</v>
      </c>
    </row>
    <row r="82" spans="1:18" s="34" customFormat="1">
      <c r="A82" s="34" t="s">
        <v>14</v>
      </c>
      <c r="B82" s="34" t="s">
        <v>31</v>
      </c>
      <c r="C82" s="34">
        <v>8</v>
      </c>
      <c r="D82" s="34" t="s">
        <v>83</v>
      </c>
      <c r="E82" s="34" t="s">
        <v>656</v>
      </c>
      <c r="N82" s="34" t="s">
        <v>91</v>
      </c>
      <c r="R82" s="35" t="s">
        <v>14</v>
      </c>
    </row>
    <row r="83" spans="1:18" s="34" customFormat="1">
      <c r="A83" s="34" t="s">
        <v>14</v>
      </c>
      <c r="B83" s="34" t="s">
        <v>31</v>
      </c>
      <c r="C83" s="34">
        <v>8</v>
      </c>
      <c r="D83" s="34" t="s">
        <v>86</v>
      </c>
      <c r="E83" s="34" t="s">
        <v>656</v>
      </c>
      <c r="N83" s="34" t="s">
        <v>92</v>
      </c>
      <c r="R83" s="35" t="s">
        <v>14</v>
      </c>
    </row>
    <row r="84" spans="1:18" s="34" customFormat="1">
      <c r="A84" s="34" t="s">
        <v>14</v>
      </c>
      <c r="B84" s="34" t="s">
        <v>27</v>
      </c>
      <c r="C84" s="34">
        <v>8</v>
      </c>
      <c r="D84" s="34" t="s">
        <v>706</v>
      </c>
      <c r="E84" s="34" t="s">
        <v>646</v>
      </c>
      <c r="F84" s="34" t="s">
        <v>645</v>
      </c>
      <c r="R84" s="35" t="s">
        <v>14</v>
      </c>
    </row>
    <row r="85" spans="1:18" s="56" customFormat="1">
      <c r="A85" s="56" t="s">
        <v>14</v>
      </c>
      <c r="B85" s="56" t="s">
        <v>31</v>
      </c>
      <c r="C85" s="56">
        <v>10</v>
      </c>
      <c r="D85" s="56" t="s">
        <v>715</v>
      </c>
      <c r="E85" s="56" t="s">
        <v>756</v>
      </c>
      <c r="N85" s="56" t="s">
        <v>754</v>
      </c>
      <c r="R85" s="57" t="s">
        <v>14</v>
      </c>
    </row>
    <row r="86" spans="1:18" s="34" customFormat="1">
      <c r="A86" s="34" t="s">
        <v>14</v>
      </c>
      <c r="B86" s="34" t="s">
        <v>31</v>
      </c>
      <c r="C86" s="34">
        <v>10</v>
      </c>
      <c r="D86" s="34" t="s">
        <v>714</v>
      </c>
      <c r="E86" s="34" t="s">
        <v>757</v>
      </c>
      <c r="N86" s="34" t="s">
        <v>754</v>
      </c>
      <c r="R86" s="35" t="s">
        <v>14</v>
      </c>
    </row>
    <row r="87" spans="1:18" s="34" customFormat="1">
      <c r="A87" s="34" t="s">
        <v>14</v>
      </c>
      <c r="B87" s="34" t="s">
        <v>31</v>
      </c>
      <c r="C87" s="34">
        <v>10</v>
      </c>
      <c r="D87" s="34" t="s">
        <v>716</v>
      </c>
      <c r="E87" s="34" t="s">
        <v>758</v>
      </c>
      <c r="N87" s="34" t="s">
        <v>754</v>
      </c>
      <c r="R87" s="35" t="s">
        <v>14</v>
      </c>
    </row>
    <row r="88" spans="1:18" s="34" customFormat="1">
      <c r="A88" s="34" t="s">
        <v>14</v>
      </c>
      <c r="B88" s="34" t="s">
        <v>31</v>
      </c>
      <c r="C88" s="34">
        <v>10</v>
      </c>
      <c r="D88" s="34" t="s">
        <v>717</v>
      </c>
      <c r="E88" s="34" t="s">
        <v>759</v>
      </c>
      <c r="N88" s="34" t="s">
        <v>754</v>
      </c>
      <c r="R88" s="35" t="s">
        <v>14</v>
      </c>
    </row>
    <row r="89" spans="1:18" s="58" customFormat="1">
      <c r="A89" s="58" t="s">
        <v>14</v>
      </c>
      <c r="B89" s="58" t="s">
        <v>31</v>
      </c>
      <c r="C89" s="58">
        <v>10</v>
      </c>
      <c r="D89" s="58" t="s">
        <v>718</v>
      </c>
      <c r="E89" s="58" t="s">
        <v>756</v>
      </c>
      <c r="N89" s="58" t="s">
        <v>755</v>
      </c>
      <c r="R89" s="59" t="s">
        <v>14</v>
      </c>
    </row>
    <row r="90" spans="1:18" s="34" customFormat="1">
      <c r="A90" s="34" t="s">
        <v>14</v>
      </c>
      <c r="B90" s="34" t="s">
        <v>31</v>
      </c>
      <c r="C90" s="34">
        <v>10</v>
      </c>
      <c r="D90" s="34" t="s">
        <v>719</v>
      </c>
      <c r="E90" s="34" t="s">
        <v>757</v>
      </c>
      <c r="N90" s="34" t="s">
        <v>755</v>
      </c>
      <c r="R90" s="35" t="s">
        <v>14</v>
      </c>
    </row>
    <row r="91" spans="1:18" s="34" customFormat="1">
      <c r="A91" s="34" t="s">
        <v>14</v>
      </c>
      <c r="B91" s="34" t="s">
        <v>31</v>
      </c>
      <c r="C91" s="34">
        <v>10</v>
      </c>
      <c r="D91" s="34" t="s">
        <v>720</v>
      </c>
      <c r="E91" s="34" t="s">
        <v>758</v>
      </c>
      <c r="N91" s="34" t="s">
        <v>755</v>
      </c>
      <c r="R91" s="35" t="s">
        <v>14</v>
      </c>
    </row>
    <row r="92" spans="1:18" s="34" customFormat="1">
      <c r="A92" s="34" t="s">
        <v>14</v>
      </c>
      <c r="B92" s="34" t="s">
        <v>31</v>
      </c>
      <c r="C92" s="34">
        <v>10</v>
      </c>
      <c r="D92" s="34" t="s">
        <v>721</v>
      </c>
      <c r="E92" s="34" t="s">
        <v>759</v>
      </c>
      <c r="N92" s="34" t="s">
        <v>755</v>
      </c>
      <c r="R92" s="35" t="s">
        <v>14</v>
      </c>
    </row>
    <row r="93" spans="1:18" s="58" customFormat="1">
      <c r="A93" s="58" t="s">
        <v>14</v>
      </c>
      <c r="B93" s="58" t="s">
        <v>31</v>
      </c>
      <c r="C93" s="58">
        <v>10</v>
      </c>
      <c r="D93" s="58" t="s">
        <v>722</v>
      </c>
      <c r="E93" s="58" t="s">
        <v>756</v>
      </c>
      <c r="N93" s="58" t="s">
        <v>760</v>
      </c>
      <c r="R93" s="59" t="s">
        <v>14</v>
      </c>
    </row>
    <row r="94" spans="1:18" s="34" customFormat="1">
      <c r="A94" s="34" t="s">
        <v>14</v>
      </c>
      <c r="B94" s="34" t="s">
        <v>31</v>
      </c>
      <c r="C94" s="34">
        <v>10</v>
      </c>
      <c r="D94" s="34" t="s">
        <v>723</v>
      </c>
      <c r="E94" s="34" t="s">
        <v>757</v>
      </c>
      <c r="N94" s="34" t="s">
        <v>760</v>
      </c>
      <c r="R94" s="35" t="s">
        <v>14</v>
      </c>
    </row>
    <row r="95" spans="1:18" s="34" customFormat="1">
      <c r="A95" s="34" t="s">
        <v>14</v>
      </c>
      <c r="B95" s="34" t="s">
        <v>31</v>
      </c>
      <c r="C95" s="34">
        <v>10</v>
      </c>
      <c r="D95" s="34" t="s">
        <v>724</v>
      </c>
      <c r="E95" s="34" t="s">
        <v>758</v>
      </c>
      <c r="N95" s="34" t="s">
        <v>760</v>
      </c>
      <c r="R95" s="35" t="s">
        <v>14</v>
      </c>
    </row>
    <row r="96" spans="1:18" s="34" customFormat="1">
      <c r="A96" s="34" t="s">
        <v>14</v>
      </c>
      <c r="B96" s="34" t="s">
        <v>31</v>
      </c>
      <c r="C96" s="34">
        <v>10</v>
      </c>
      <c r="D96" s="34" t="s">
        <v>725</v>
      </c>
      <c r="E96" s="34" t="s">
        <v>759</v>
      </c>
      <c r="N96" s="34" t="s">
        <v>760</v>
      </c>
      <c r="R96" s="35" t="s">
        <v>14</v>
      </c>
    </row>
    <row r="97" spans="1:18" s="46" customFormat="1">
      <c r="A97" s="46" t="s">
        <v>14</v>
      </c>
      <c r="B97" s="46" t="s">
        <v>27</v>
      </c>
      <c r="C97" s="46">
        <v>10</v>
      </c>
      <c r="D97" s="46" t="s">
        <v>706</v>
      </c>
      <c r="E97" s="46" t="s">
        <v>757</v>
      </c>
      <c r="F97" s="46" t="s">
        <v>759</v>
      </c>
      <c r="R97" s="47" t="s">
        <v>14</v>
      </c>
    </row>
    <row r="98" spans="1:18" s="34" customFormat="1">
      <c r="A98" s="34" t="s">
        <v>14</v>
      </c>
      <c r="B98" s="34" t="s">
        <v>31</v>
      </c>
      <c r="C98" s="34">
        <v>10</v>
      </c>
      <c r="D98" s="34" t="s">
        <v>736</v>
      </c>
      <c r="E98" s="34" t="s">
        <v>756</v>
      </c>
      <c r="N98" s="34" t="s">
        <v>761</v>
      </c>
      <c r="R98" s="35" t="s">
        <v>14</v>
      </c>
    </row>
    <row r="99" spans="1:18" s="34" customFormat="1">
      <c r="A99" s="34" t="s">
        <v>14</v>
      </c>
      <c r="B99" s="34" t="s">
        <v>31</v>
      </c>
      <c r="C99" s="34">
        <v>10</v>
      </c>
      <c r="D99" s="34" t="s">
        <v>737</v>
      </c>
      <c r="E99" s="34" t="s">
        <v>756</v>
      </c>
      <c r="N99" s="34" t="s">
        <v>762</v>
      </c>
      <c r="R99" s="35" t="s">
        <v>14</v>
      </c>
    </row>
    <row r="100" spans="1:18" s="34" customFormat="1">
      <c r="A100" s="34" t="s">
        <v>14</v>
      </c>
      <c r="B100" s="34" t="s">
        <v>31</v>
      </c>
      <c r="C100" s="34">
        <v>10</v>
      </c>
      <c r="D100" s="34" t="s">
        <v>738</v>
      </c>
      <c r="E100" s="34" t="s">
        <v>756</v>
      </c>
      <c r="N100" s="34" t="s">
        <v>763</v>
      </c>
      <c r="R100" s="35" t="s">
        <v>14</v>
      </c>
    </row>
    <row r="101" spans="1:18" s="34" customFormat="1">
      <c r="A101" s="34" t="s">
        <v>14</v>
      </c>
      <c r="B101" s="34" t="s">
        <v>31</v>
      </c>
      <c r="C101" s="34">
        <v>10</v>
      </c>
      <c r="D101" s="34" t="s">
        <v>739</v>
      </c>
      <c r="E101" s="34" t="s">
        <v>756</v>
      </c>
      <c r="N101" s="34" t="s">
        <v>764</v>
      </c>
      <c r="R101" s="35" t="s">
        <v>14</v>
      </c>
    </row>
    <row r="102" spans="1:18" s="34" customFormat="1">
      <c r="A102" s="34" t="s">
        <v>14</v>
      </c>
      <c r="B102" s="34" t="s">
        <v>31</v>
      </c>
      <c r="C102" s="34">
        <v>10</v>
      </c>
      <c r="D102" s="34" t="s">
        <v>740</v>
      </c>
      <c r="E102" s="34" t="s">
        <v>756</v>
      </c>
      <c r="N102" s="34" t="s">
        <v>765</v>
      </c>
      <c r="R102" s="35" t="s">
        <v>14</v>
      </c>
    </row>
    <row r="103" spans="1:18" s="34" customFormat="1">
      <c r="A103" s="34" t="s">
        <v>14</v>
      </c>
      <c r="B103" s="34" t="s">
        <v>31</v>
      </c>
      <c r="C103" s="34">
        <v>10</v>
      </c>
      <c r="D103" s="34" t="s">
        <v>741</v>
      </c>
      <c r="E103" s="34" t="s">
        <v>756</v>
      </c>
      <c r="N103" s="34" t="s">
        <v>766</v>
      </c>
      <c r="R103" s="35" t="s">
        <v>14</v>
      </c>
    </row>
    <row r="104" spans="1:18" s="34" customFormat="1">
      <c r="A104" s="34" t="s">
        <v>14</v>
      </c>
      <c r="B104" s="34" t="s">
        <v>31</v>
      </c>
      <c r="C104" s="34">
        <v>10</v>
      </c>
      <c r="D104" s="34" t="s">
        <v>742</v>
      </c>
      <c r="E104" s="34" t="s">
        <v>756</v>
      </c>
      <c r="N104" s="34" t="s">
        <v>767</v>
      </c>
      <c r="R104" s="35" t="s">
        <v>14</v>
      </c>
    </row>
    <row r="105" spans="1:18" s="34" customFormat="1">
      <c r="A105" s="34" t="s">
        <v>14</v>
      </c>
      <c r="B105" s="34" t="s">
        <v>31</v>
      </c>
      <c r="C105" s="34">
        <v>10</v>
      </c>
      <c r="D105" s="34" t="s">
        <v>743</v>
      </c>
      <c r="E105" s="34" t="s">
        <v>756</v>
      </c>
      <c r="N105" s="34" t="s">
        <v>768</v>
      </c>
      <c r="R105" s="35" t="s">
        <v>14</v>
      </c>
    </row>
    <row r="106" spans="1:18" s="34" customFormat="1">
      <c r="A106" s="34" t="s">
        <v>14</v>
      </c>
      <c r="B106" s="34" t="s">
        <v>31</v>
      </c>
      <c r="C106" s="34">
        <v>10</v>
      </c>
      <c r="D106" s="34" t="s">
        <v>744</v>
      </c>
      <c r="E106" s="34" t="s">
        <v>756</v>
      </c>
      <c r="N106" s="34" t="s">
        <v>769</v>
      </c>
      <c r="R106" s="35" t="s">
        <v>14</v>
      </c>
    </row>
    <row r="107" spans="1:18" s="34" customFormat="1">
      <c r="A107" s="34" t="s">
        <v>14</v>
      </c>
      <c r="B107" s="34" t="s">
        <v>31</v>
      </c>
      <c r="C107" s="34">
        <v>10</v>
      </c>
      <c r="D107" s="34" t="s">
        <v>745</v>
      </c>
      <c r="E107" s="34" t="s">
        <v>756</v>
      </c>
      <c r="N107" s="34" t="s">
        <v>770</v>
      </c>
      <c r="R107" s="35" t="s">
        <v>14</v>
      </c>
    </row>
    <row r="108" spans="1:18" s="34" customFormat="1">
      <c r="A108" s="34" t="s">
        <v>14</v>
      </c>
      <c r="B108" s="34" t="s">
        <v>31</v>
      </c>
      <c r="C108" s="34">
        <v>10</v>
      </c>
      <c r="D108" s="34" t="s">
        <v>746</v>
      </c>
      <c r="E108" s="34" t="s">
        <v>758</v>
      </c>
      <c r="N108" s="34" t="s">
        <v>761</v>
      </c>
      <c r="R108" s="35" t="s">
        <v>14</v>
      </c>
    </row>
    <row r="109" spans="1:18" s="34" customFormat="1">
      <c r="A109" s="34" t="s">
        <v>14</v>
      </c>
      <c r="B109" s="34" t="s">
        <v>31</v>
      </c>
      <c r="C109" s="34">
        <v>10</v>
      </c>
      <c r="D109" s="34" t="s">
        <v>747</v>
      </c>
      <c r="E109" s="34" t="s">
        <v>758</v>
      </c>
      <c r="N109" s="34" t="s">
        <v>762</v>
      </c>
      <c r="R109" s="35" t="s">
        <v>14</v>
      </c>
    </row>
    <row r="110" spans="1:18" s="34" customFormat="1">
      <c r="A110" s="34" t="s">
        <v>14</v>
      </c>
      <c r="B110" s="34" t="s">
        <v>31</v>
      </c>
      <c r="C110" s="34">
        <v>10</v>
      </c>
      <c r="D110" s="34" t="s">
        <v>748</v>
      </c>
      <c r="E110" s="34" t="s">
        <v>758</v>
      </c>
      <c r="N110" s="34" t="s">
        <v>763</v>
      </c>
      <c r="R110" s="35" t="s">
        <v>14</v>
      </c>
    </row>
    <row r="111" spans="1:18" s="34" customFormat="1">
      <c r="A111" s="34" t="s">
        <v>14</v>
      </c>
      <c r="B111" s="34" t="s">
        <v>31</v>
      </c>
      <c r="C111" s="34">
        <v>10</v>
      </c>
      <c r="D111" s="34" t="s">
        <v>749</v>
      </c>
      <c r="E111" s="34" t="s">
        <v>758</v>
      </c>
      <c r="N111" s="34" t="s">
        <v>764</v>
      </c>
      <c r="R111" s="35" t="s">
        <v>14</v>
      </c>
    </row>
    <row r="112" spans="1:18" s="34" customFormat="1">
      <c r="A112" s="34" t="s">
        <v>14</v>
      </c>
      <c r="B112" s="34" t="s">
        <v>31</v>
      </c>
      <c r="C112" s="34">
        <v>10</v>
      </c>
      <c r="D112" s="34" t="s">
        <v>750</v>
      </c>
      <c r="E112" s="34" t="s">
        <v>758</v>
      </c>
      <c r="N112" s="34" t="s">
        <v>765</v>
      </c>
      <c r="R112" s="35" t="s">
        <v>14</v>
      </c>
    </row>
    <row r="113" spans="1:18" s="34" customFormat="1">
      <c r="A113" s="34" t="s">
        <v>14</v>
      </c>
      <c r="B113" s="34" t="s">
        <v>31</v>
      </c>
      <c r="C113" s="34">
        <v>10</v>
      </c>
      <c r="D113" s="34" t="s">
        <v>771</v>
      </c>
      <c r="E113" s="34" t="s">
        <v>758</v>
      </c>
      <c r="N113" s="34" t="s">
        <v>766</v>
      </c>
      <c r="R113" s="35" t="s">
        <v>14</v>
      </c>
    </row>
    <row r="114" spans="1:18" s="34" customFormat="1">
      <c r="A114" s="34" t="s">
        <v>14</v>
      </c>
      <c r="B114" s="34" t="s">
        <v>31</v>
      </c>
      <c r="C114" s="34">
        <v>10</v>
      </c>
      <c r="D114" s="34" t="s">
        <v>772</v>
      </c>
      <c r="E114" s="34" t="s">
        <v>758</v>
      </c>
      <c r="N114" s="34" t="s">
        <v>767</v>
      </c>
      <c r="R114" s="35" t="s">
        <v>14</v>
      </c>
    </row>
    <row r="115" spans="1:18" s="34" customFormat="1">
      <c r="A115" s="34" t="s">
        <v>14</v>
      </c>
      <c r="B115" s="34" t="s">
        <v>31</v>
      </c>
      <c r="C115" s="34">
        <v>10</v>
      </c>
      <c r="D115" s="34" t="s">
        <v>773</v>
      </c>
      <c r="E115" s="34" t="s">
        <v>758</v>
      </c>
      <c r="N115" s="34" t="s">
        <v>768</v>
      </c>
      <c r="R115" s="35" t="s">
        <v>14</v>
      </c>
    </row>
    <row r="116" spans="1:18" s="34" customFormat="1">
      <c r="A116" s="34" t="s">
        <v>14</v>
      </c>
      <c r="B116" s="34" t="s">
        <v>31</v>
      </c>
      <c r="C116" s="34">
        <v>10</v>
      </c>
      <c r="D116" s="34" t="s">
        <v>774</v>
      </c>
      <c r="E116" s="34" t="s">
        <v>758</v>
      </c>
      <c r="N116" s="34" t="s">
        <v>769</v>
      </c>
      <c r="R116" s="35" t="s">
        <v>14</v>
      </c>
    </row>
    <row r="117" spans="1:18" s="34" customFormat="1">
      <c r="A117" s="34" t="s">
        <v>14</v>
      </c>
      <c r="B117" s="34" t="s">
        <v>31</v>
      </c>
      <c r="C117" s="34">
        <v>10</v>
      </c>
      <c r="D117" s="34" t="s">
        <v>775</v>
      </c>
      <c r="E117" s="34" t="s">
        <v>758</v>
      </c>
      <c r="N117" s="34" t="s">
        <v>770</v>
      </c>
      <c r="R117" s="35" t="s">
        <v>14</v>
      </c>
    </row>
    <row r="118" spans="1:18" s="56" customFormat="1">
      <c r="A118" s="56" t="s">
        <v>14</v>
      </c>
      <c r="B118" s="56" t="s">
        <v>31</v>
      </c>
      <c r="C118" s="56">
        <v>11</v>
      </c>
      <c r="D118" s="56" t="s">
        <v>715</v>
      </c>
      <c r="E118" s="56" t="s">
        <v>660</v>
      </c>
      <c r="N118" s="56" t="s">
        <v>776</v>
      </c>
      <c r="R118" s="57" t="s">
        <v>14</v>
      </c>
    </row>
    <row r="119" spans="1:18" s="34" customFormat="1">
      <c r="A119" s="34" t="s">
        <v>14</v>
      </c>
      <c r="B119" s="34" t="s">
        <v>31</v>
      </c>
      <c r="C119" s="34">
        <v>11</v>
      </c>
      <c r="D119" s="34" t="s">
        <v>714</v>
      </c>
      <c r="E119" s="34" t="s">
        <v>655</v>
      </c>
      <c r="N119" s="34" t="s">
        <v>776</v>
      </c>
      <c r="R119" s="35" t="s">
        <v>14</v>
      </c>
    </row>
    <row r="120" spans="1:18" s="34" customFormat="1">
      <c r="A120" s="34" t="s">
        <v>14</v>
      </c>
      <c r="B120" s="34" t="s">
        <v>31</v>
      </c>
      <c r="C120" s="34">
        <v>11</v>
      </c>
      <c r="D120" s="34" t="s">
        <v>716</v>
      </c>
      <c r="E120" s="34" t="s">
        <v>661</v>
      </c>
      <c r="N120" s="34" t="s">
        <v>776</v>
      </c>
      <c r="R120" s="35" t="s">
        <v>14</v>
      </c>
    </row>
    <row r="121" spans="1:18" s="34" customFormat="1">
      <c r="A121" s="34" t="s">
        <v>14</v>
      </c>
      <c r="B121" s="34" t="s">
        <v>31</v>
      </c>
      <c r="C121" s="34">
        <v>11</v>
      </c>
      <c r="D121" s="34" t="s">
        <v>717</v>
      </c>
      <c r="E121" s="34" t="s">
        <v>656</v>
      </c>
      <c r="N121" s="34" t="s">
        <v>776</v>
      </c>
      <c r="R121" s="35" t="s">
        <v>14</v>
      </c>
    </row>
    <row r="122" spans="1:18" s="58" customFormat="1">
      <c r="A122" s="58" t="s">
        <v>14</v>
      </c>
      <c r="B122" s="58" t="s">
        <v>31</v>
      </c>
      <c r="C122" s="58">
        <v>11</v>
      </c>
      <c r="D122" s="58" t="s">
        <v>718</v>
      </c>
      <c r="E122" s="58" t="s">
        <v>756</v>
      </c>
      <c r="N122" s="58" t="s">
        <v>777</v>
      </c>
      <c r="R122" s="59" t="s">
        <v>14</v>
      </c>
    </row>
    <row r="123" spans="1:18" s="34" customFormat="1">
      <c r="A123" s="34" t="s">
        <v>14</v>
      </c>
      <c r="B123" s="34" t="s">
        <v>31</v>
      </c>
      <c r="C123" s="34">
        <v>11</v>
      </c>
      <c r="D123" s="34" t="s">
        <v>719</v>
      </c>
      <c r="E123" s="34" t="s">
        <v>757</v>
      </c>
      <c r="N123" s="34" t="s">
        <v>777</v>
      </c>
      <c r="R123" s="35" t="s">
        <v>14</v>
      </c>
    </row>
    <row r="124" spans="1:18" s="34" customFormat="1">
      <c r="A124" s="34" t="s">
        <v>14</v>
      </c>
      <c r="B124" s="34" t="s">
        <v>31</v>
      </c>
      <c r="C124" s="34">
        <v>11</v>
      </c>
      <c r="D124" s="34" t="s">
        <v>720</v>
      </c>
      <c r="E124" s="34" t="s">
        <v>758</v>
      </c>
      <c r="N124" s="34" t="s">
        <v>777</v>
      </c>
      <c r="R124" s="35" t="s">
        <v>14</v>
      </c>
    </row>
    <row r="125" spans="1:18" s="34" customFormat="1">
      <c r="A125" s="34" t="s">
        <v>14</v>
      </c>
      <c r="B125" s="34" t="s">
        <v>31</v>
      </c>
      <c r="C125" s="34">
        <v>11</v>
      </c>
      <c r="D125" s="34" t="s">
        <v>721</v>
      </c>
      <c r="E125" s="34" t="s">
        <v>759</v>
      </c>
      <c r="N125" s="34" t="s">
        <v>777</v>
      </c>
      <c r="R125" s="35" t="s">
        <v>14</v>
      </c>
    </row>
    <row r="126" spans="1:18" s="58" customFormat="1">
      <c r="A126" s="58" t="s">
        <v>14</v>
      </c>
      <c r="B126" s="58" t="s">
        <v>31</v>
      </c>
      <c r="C126" s="58">
        <v>11</v>
      </c>
      <c r="D126" s="58" t="s">
        <v>722</v>
      </c>
      <c r="E126" s="58" t="s">
        <v>660</v>
      </c>
      <c r="N126" s="58" t="s">
        <v>778</v>
      </c>
      <c r="R126" s="59" t="s">
        <v>14</v>
      </c>
    </row>
    <row r="127" spans="1:18" s="34" customFormat="1">
      <c r="A127" s="34" t="s">
        <v>14</v>
      </c>
      <c r="B127" s="34" t="s">
        <v>31</v>
      </c>
      <c r="C127" s="34">
        <v>11</v>
      </c>
      <c r="D127" s="34" t="s">
        <v>723</v>
      </c>
      <c r="E127" s="34" t="s">
        <v>655</v>
      </c>
      <c r="N127" s="34" t="s">
        <v>778</v>
      </c>
      <c r="R127" s="35" t="s">
        <v>14</v>
      </c>
    </row>
    <row r="128" spans="1:18" s="34" customFormat="1">
      <c r="A128" s="34" t="s">
        <v>14</v>
      </c>
      <c r="B128" s="34" t="s">
        <v>31</v>
      </c>
      <c r="C128" s="34">
        <v>11</v>
      </c>
      <c r="D128" s="34" t="s">
        <v>724</v>
      </c>
      <c r="E128" s="34" t="s">
        <v>661</v>
      </c>
      <c r="N128" s="34" t="s">
        <v>778</v>
      </c>
      <c r="R128" s="35" t="s">
        <v>14</v>
      </c>
    </row>
    <row r="129" spans="1:18" s="34" customFormat="1">
      <c r="A129" s="34" t="s">
        <v>14</v>
      </c>
      <c r="B129" s="34" t="s">
        <v>31</v>
      </c>
      <c r="C129" s="34">
        <v>11</v>
      </c>
      <c r="D129" s="34" t="s">
        <v>725</v>
      </c>
      <c r="E129" s="34" t="s">
        <v>656</v>
      </c>
      <c r="N129" s="34" t="s">
        <v>778</v>
      </c>
      <c r="R129" s="35" t="s">
        <v>14</v>
      </c>
    </row>
    <row r="130" spans="1:18" s="46" customFormat="1">
      <c r="A130" s="46" t="s">
        <v>14</v>
      </c>
      <c r="B130" s="46" t="s">
        <v>27</v>
      </c>
      <c r="C130" s="46">
        <v>11</v>
      </c>
      <c r="D130" s="46" t="s">
        <v>706</v>
      </c>
      <c r="E130" s="46" t="s">
        <v>757</v>
      </c>
      <c r="F130" s="46" t="s">
        <v>759</v>
      </c>
      <c r="R130" s="47" t="s">
        <v>14</v>
      </c>
    </row>
    <row r="131" spans="1:18" s="34" customFormat="1">
      <c r="A131" s="34" t="s">
        <v>14</v>
      </c>
      <c r="B131" s="34" t="s">
        <v>31</v>
      </c>
      <c r="C131" s="34">
        <v>11</v>
      </c>
      <c r="D131" s="34" t="s">
        <v>736</v>
      </c>
      <c r="E131" s="34" t="s">
        <v>756</v>
      </c>
      <c r="N131" s="34" t="s">
        <v>779</v>
      </c>
      <c r="R131" s="35" t="s">
        <v>14</v>
      </c>
    </row>
    <row r="132" spans="1:18" s="34" customFormat="1">
      <c r="A132" s="34" t="s">
        <v>14</v>
      </c>
      <c r="B132" s="34" t="s">
        <v>31</v>
      </c>
      <c r="C132" s="34">
        <v>11</v>
      </c>
      <c r="D132" s="34" t="s">
        <v>737</v>
      </c>
      <c r="E132" s="34" t="s">
        <v>756</v>
      </c>
      <c r="N132" s="34" t="s">
        <v>780</v>
      </c>
      <c r="R132" s="35" t="s">
        <v>14</v>
      </c>
    </row>
    <row r="133" spans="1:18" s="34" customFormat="1">
      <c r="A133" s="34" t="s">
        <v>14</v>
      </c>
      <c r="B133" s="34" t="s">
        <v>31</v>
      </c>
      <c r="C133" s="34">
        <v>11</v>
      </c>
      <c r="D133" s="34" t="s">
        <v>738</v>
      </c>
      <c r="E133" s="34" t="s">
        <v>756</v>
      </c>
      <c r="N133" s="34" t="s">
        <v>781</v>
      </c>
      <c r="R133" s="35" t="s">
        <v>14</v>
      </c>
    </row>
    <row r="134" spans="1:18" s="34" customFormat="1">
      <c r="A134" s="34" t="s">
        <v>14</v>
      </c>
      <c r="B134" s="34" t="s">
        <v>31</v>
      </c>
      <c r="C134" s="34">
        <v>11</v>
      </c>
      <c r="D134" s="34" t="s">
        <v>739</v>
      </c>
      <c r="E134" s="34" t="s">
        <v>756</v>
      </c>
      <c r="N134" s="34" t="s">
        <v>782</v>
      </c>
      <c r="R134" s="35" t="s">
        <v>14</v>
      </c>
    </row>
    <row r="135" spans="1:18" s="34" customFormat="1">
      <c r="A135" s="34" t="s">
        <v>14</v>
      </c>
      <c r="B135" s="34" t="s">
        <v>31</v>
      </c>
      <c r="C135" s="34">
        <v>11</v>
      </c>
      <c r="D135" s="34" t="s">
        <v>740</v>
      </c>
      <c r="E135" s="34" t="s">
        <v>756</v>
      </c>
      <c r="N135" s="34" t="s">
        <v>783</v>
      </c>
      <c r="R135" s="35" t="s">
        <v>14</v>
      </c>
    </row>
    <row r="136" spans="1:18" s="34" customFormat="1">
      <c r="A136" s="34" t="s">
        <v>14</v>
      </c>
      <c r="B136" s="34" t="s">
        <v>31</v>
      </c>
      <c r="C136" s="34">
        <v>11</v>
      </c>
      <c r="D136" s="34" t="s">
        <v>741</v>
      </c>
      <c r="E136" s="34" t="s">
        <v>756</v>
      </c>
      <c r="N136" s="34" t="s">
        <v>784</v>
      </c>
      <c r="R136" s="35" t="s">
        <v>14</v>
      </c>
    </row>
    <row r="137" spans="1:18" s="34" customFormat="1">
      <c r="A137" s="34" t="s">
        <v>14</v>
      </c>
      <c r="B137" s="34" t="s">
        <v>31</v>
      </c>
      <c r="C137" s="34">
        <v>11</v>
      </c>
      <c r="D137" s="34" t="s">
        <v>742</v>
      </c>
      <c r="E137" s="34" t="s">
        <v>756</v>
      </c>
      <c r="N137" s="34" t="s">
        <v>785</v>
      </c>
      <c r="R137" s="35" t="s">
        <v>14</v>
      </c>
    </row>
    <row r="138" spans="1:18" s="34" customFormat="1">
      <c r="A138" s="34" t="s">
        <v>14</v>
      </c>
      <c r="B138" s="34" t="s">
        <v>31</v>
      </c>
      <c r="C138" s="34">
        <v>11</v>
      </c>
      <c r="D138" s="34" t="s">
        <v>746</v>
      </c>
      <c r="E138" s="34" t="s">
        <v>758</v>
      </c>
      <c r="N138" s="34" t="s">
        <v>779</v>
      </c>
      <c r="R138" s="35" t="s">
        <v>14</v>
      </c>
    </row>
    <row r="139" spans="1:18" s="34" customFormat="1">
      <c r="A139" s="34" t="s">
        <v>14</v>
      </c>
      <c r="B139" s="34" t="s">
        <v>31</v>
      </c>
      <c r="C139" s="34">
        <v>11</v>
      </c>
      <c r="D139" s="34" t="s">
        <v>747</v>
      </c>
      <c r="E139" s="34" t="s">
        <v>758</v>
      </c>
      <c r="N139" s="34" t="s">
        <v>780</v>
      </c>
      <c r="R139" s="35" t="s">
        <v>14</v>
      </c>
    </row>
    <row r="140" spans="1:18" s="34" customFormat="1">
      <c r="A140" s="34" t="s">
        <v>14</v>
      </c>
      <c r="B140" s="34" t="s">
        <v>31</v>
      </c>
      <c r="C140" s="34">
        <v>11</v>
      </c>
      <c r="D140" s="34" t="s">
        <v>748</v>
      </c>
      <c r="E140" s="34" t="s">
        <v>758</v>
      </c>
      <c r="N140" s="34" t="s">
        <v>781</v>
      </c>
      <c r="R140" s="35" t="s">
        <v>14</v>
      </c>
    </row>
    <row r="141" spans="1:18" s="34" customFormat="1">
      <c r="A141" s="34" t="s">
        <v>14</v>
      </c>
      <c r="B141" s="34" t="s">
        <v>31</v>
      </c>
      <c r="C141" s="34">
        <v>11</v>
      </c>
      <c r="D141" s="34" t="s">
        <v>749</v>
      </c>
      <c r="E141" s="34" t="s">
        <v>758</v>
      </c>
      <c r="N141" s="34" t="s">
        <v>782</v>
      </c>
      <c r="R141" s="35" t="s">
        <v>14</v>
      </c>
    </row>
    <row r="142" spans="1:18" s="34" customFormat="1">
      <c r="A142" s="34" t="s">
        <v>14</v>
      </c>
      <c r="B142" s="34" t="s">
        <v>31</v>
      </c>
      <c r="C142" s="34">
        <v>11</v>
      </c>
      <c r="D142" s="34" t="s">
        <v>750</v>
      </c>
      <c r="E142" s="34" t="s">
        <v>758</v>
      </c>
      <c r="N142" s="34" t="s">
        <v>783</v>
      </c>
      <c r="R142" s="35" t="s">
        <v>14</v>
      </c>
    </row>
    <row r="143" spans="1:18" s="34" customFormat="1">
      <c r="A143" s="34" t="s">
        <v>14</v>
      </c>
      <c r="B143" s="34" t="s">
        <v>31</v>
      </c>
      <c r="C143" s="34">
        <v>11</v>
      </c>
      <c r="D143" s="34" t="s">
        <v>771</v>
      </c>
      <c r="E143" s="34" t="s">
        <v>758</v>
      </c>
      <c r="N143" s="34" t="s">
        <v>784</v>
      </c>
      <c r="R143" s="35" t="s">
        <v>14</v>
      </c>
    </row>
    <row r="144" spans="1:18" s="34" customFormat="1">
      <c r="A144" s="34" t="s">
        <v>14</v>
      </c>
      <c r="B144" s="34" t="s">
        <v>31</v>
      </c>
      <c r="C144" s="34">
        <v>11</v>
      </c>
      <c r="D144" s="34" t="s">
        <v>772</v>
      </c>
      <c r="E144" s="34" t="s">
        <v>758</v>
      </c>
      <c r="N144" s="34" t="s">
        <v>785</v>
      </c>
      <c r="R144" s="35" t="s">
        <v>14</v>
      </c>
    </row>
    <row r="145" spans="1:18" s="56" customFormat="1">
      <c r="A145" s="56" t="s">
        <v>14</v>
      </c>
      <c r="B145" s="56" t="s">
        <v>31</v>
      </c>
      <c r="C145" s="56">
        <v>12</v>
      </c>
      <c r="D145" s="56" t="s">
        <v>715</v>
      </c>
      <c r="E145" s="56" t="s">
        <v>660</v>
      </c>
      <c r="N145" s="56" t="s">
        <v>791</v>
      </c>
      <c r="R145" s="57" t="s">
        <v>14</v>
      </c>
    </row>
    <row r="146" spans="1:18" s="34" customFormat="1">
      <c r="A146" s="34" t="s">
        <v>14</v>
      </c>
      <c r="B146" s="34" t="s">
        <v>31</v>
      </c>
      <c r="C146" s="34">
        <v>12</v>
      </c>
      <c r="D146" s="34" t="s">
        <v>714</v>
      </c>
      <c r="E146" s="34" t="s">
        <v>655</v>
      </c>
      <c r="N146" s="34" t="s">
        <v>791</v>
      </c>
      <c r="R146" s="35" t="s">
        <v>14</v>
      </c>
    </row>
    <row r="147" spans="1:18" s="34" customFormat="1">
      <c r="A147" s="34" t="s">
        <v>14</v>
      </c>
      <c r="B147" s="34" t="s">
        <v>31</v>
      </c>
      <c r="C147" s="34">
        <v>12</v>
      </c>
      <c r="D147" s="34" t="s">
        <v>716</v>
      </c>
      <c r="E147" s="34" t="s">
        <v>661</v>
      </c>
      <c r="N147" s="34" t="s">
        <v>791</v>
      </c>
      <c r="R147" s="35" t="s">
        <v>14</v>
      </c>
    </row>
    <row r="148" spans="1:18" s="34" customFormat="1">
      <c r="A148" s="34" t="s">
        <v>14</v>
      </c>
      <c r="B148" s="34" t="s">
        <v>31</v>
      </c>
      <c r="C148" s="34">
        <v>12</v>
      </c>
      <c r="D148" s="34" t="s">
        <v>717</v>
      </c>
      <c r="E148" s="34" t="s">
        <v>656</v>
      </c>
      <c r="N148" s="34" t="s">
        <v>791</v>
      </c>
      <c r="R148" s="35" t="s">
        <v>14</v>
      </c>
    </row>
    <row r="149" spans="1:18" s="46" customFormat="1">
      <c r="A149" s="46" t="s">
        <v>14</v>
      </c>
      <c r="B149" s="46" t="s">
        <v>27</v>
      </c>
      <c r="C149" s="46">
        <v>12</v>
      </c>
      <c r="D149" s="46" t="s">
        <v>726</v>
      </c>
      <c r="E149" s="46" t="s">
        <v>757</v>
      </c>
      <c r="F149" s="46" t="s">
        <v>759</v>
      </c>
      <c r="R149" s="47" t="s">
        <v>14</v>
      </c>
    </row>
    <row r="150" spans="1:18" s="34" customFormat="1">
      <c r="A150" s="34" t="s">
        <v>14</v>
      </c>
      <c r="B150" s="34" t="s">
        <v>31</v>
      </c>
      <c r="C150" s="34">
        <v>12</v>
      </c>
      <c r="D150" s="34" t="s">
        <v>736</v>
      </c>
      <c r="E150" s="34" t="s">
        <v>756</v>
      </c>
      <c r="N150" s="34" t="s">
        <v>96</v>
      </c>
      <c r="R150" s="35" t="s">
        <v>14</v>
      </c>
    </row>
    <row r="151" spans="1:18" s="34" customFormat="1">
      <c r="A151" s="34" t="s">
        <v>14</v>
      </c>
      <c r="B151" s="34" t="s">
        <v>31</v>
      </c>
      <c r="C151" s="34">
        <v>12</v>
      </c>
      <c r="D151" s="34" t="s">
        <v>737</v>
      </c>
      <c r="E151" s="34" t="s">
        <v>756</v>
      </c>
      <c r="N151" s="34" t="s">
        <v>98</v>
      </c>
      <c r="R151" s="35" t="s">
        <v>14</v>
      </c>
    </row>
    <row r="152" spans="1:18" s="34" customFormat="1">
      <c r="A152" s="34" t="s">
        <v>14</v>
      </c>
      <c r="B152" s="34" t="s">
        <v>31</v>
      </c>
      <c r="C152" s="34">
        <v>12</v>
      </c>
      <c r="D152" s="34" t="s">
        <v>738</v>
      </c>
      <c r="E152" s="34" t="s">
        <v>756</v>
      </c>
      <c r="N152" s="34" t="s">
        <v>99</v>
      </c>
      <c r="R152" s="35" t="s">
        <v>14</v>
      </c>
    </row>
    <row r="153" spans="1:18" s="34" customFormat="1">
      <c r="A153" s="34" t="s">
        <v>14</v>
      </c>
      <c r="B153" s="34" t="s">
        <v>31</v>
      </c>
      <c r="C153" s="34">
        <v>12</v>
      </c>
      <c r="D153" s="34" t="s">
        <v>739</v>
      </c>
      <c r="E153" s="34" t="s">
        <v>756</v>
      </c>
      <c r="N153" s="34" t="s">
        <v>100</v>
      </c>
      <c r="R153" s="35" t="s">
        <v>14</v>
      </c>
    </row>
    <row r="154" spans="1:18" s="34" customFormat="1">
      <c r="A154" s="34" t="s">
        <v>14</v>
      </c>
      <c r="B154" s="34" t="s">
        <v>31</v>
      </c>
      <c r="C154" s="34">
        <v>12</v>
      </c>
      <c r="D154" s="34" t="s">
        <v>740</v>
      </c>
      <c r="E154" s="34" t="s">
        <v>756</v>
      </c>
      <c r="N154" s="34" t="s">
        <v>101</v>
      </c>
      <c r="R154" s="35" t="s">
        <v>14</v>
      </c>
    </row>
    <row r="155" spans="1:18" s="34" customFormat="1">
      <c r="A155" s="34" t="s">
        <v>14</v>
      </c>
      <c r="B155" s="34" t="s">
        <v>31</v>
      </c>
      <c r="C155" s="34">
        <v>12</v>
      </c>
      <c r="D155" s="34" t="s">
        <v>736</v>
      </c>
      <c r="E155" s="34" t="s">
        <v>758</v>
      </c>
      <c r="N155" s="34" t="s">
        <v>96</v>
      </c>
      <c r="R155" s="35" t="s">
        <v>14</v>
      </c>
    </row>
    <row r="156" spans="1:18" s="34" customFormat="1">
      <c r="A156" s="34" t="s">
        <v>14</v>
      </c>
      <c r="B156" s="34" t="s">
        <v>31</v>
      </c>
      <c r="C156" s="34">
        <v>12</v>
      </c>
      <c r="D156" s="34" t="s">
        <v>737</v>
      </c>
      <c r="E156" s="34" t="s">
        <v>758</v>
      </c>
      <c r="N156" s="34" t="s">
        <v>98</v>
      </c>
      <c r="R156" s="35" t="s">
        <v>14</v>
      </c>
    </row>
    <row r="157" spans="1:18" s="34" customFormat="1">
      <c r="A157" s="34" t="s">
        <v>14</v>
      </c>
      <c r="B157" s="34" t="s">
        <v>31</v>
      </c>
      <c r="C157" s="34">
        <v>12</v>
      </c>
      <c r="D157" s="34" t="s">
        <v>738</v>
      </c>
      <c r="E157" s="34" t="s">
        <v>758</v>
      </c>
      <c r="N157" s="34" t="s">
        <v>99</v>
      </c>
      <c r="R157" s="35" t="s">
        <v>14</v>
      </c>
    </row>
    <row r="158" spans="1:18" s="34" customFormat="1">
      <c r="A158" s="34" t="s">
        <v>14</v>
      </c>
      <c r="B158" s="34" t="s">
        <v>31</v>
      </c>
      <c r="C158" s="34">
        <v>12</v>
      </c>
      <c r="D158" s="34" t="s">
        <v>739</v>
      </c>
      <c r="E158" s="34" t="s">
        <v>758</v>
      </c>
      <c r="N158" s="34" t="s">
        <v>100</v>
      </c>
      <c r="R158" s="35" t="s">
        <v>14</v>
      </c>
    </row>
    <row r="159" spans="1:18" s="34" customFormat="1">
      <c r="A159" s="34" t="s">
        <v>14</v>
      </c>
      <c r="B159" s="34" t="s">
        <v>31</v>
      </c>
      <c r="C159" s="34">
        <v>12</v>
      </c>
      <c r="D159" s="34" t="s">
        <v>740</v>
      </c>
      <c r="E159" s="34" t="s">
        <v>758</v>
      </c>
      <c r="N159" s="34" t="s">
        <v>101</v>
      </c>
      <c r="R159" s="35" t="s">
        <v>14</v>
      </c>
    </row>
    <row r="160" spans="1:18" s="34" customFormat="1">
      <c r="A160" s="34" t="s">
        <v>14</v>
      </c>
      <c r="B160" s="34" t="s">
        <v>31</v>
      </c>
      <c r="C160" s="34">
        <v>12</v>
      </c>
      <c r="D160" s="34" t="s">
        <v>746</v>
      </c>
      <c r="E160" s="34" t="s">
        <v>756</v>
      </c>
      <c r="N160" s="34" t="s">
        <v>96</v>
      </c>
      <c r="R160" s="35" t="s">
        <v>14</v>
      </c>
    </row>
    <row r="161" spans="1:18" s="34" customFormat="1">
      <c r="A161" s="34" t="s">
        <v>14</v>
      </c>
      <c r="B161" s="34" t="s">
        <v>31</v>
      </c>
      <c r="C161" s="34">
        <v>12</v>
      </c>
      <c r="D161" s="34" t="s">
        <v>747</v>
      </c>
      <c r="E161" s="34" t="s">
        <v>756</v>
      </c>
      <c r="N161" s="34" t="s">
        <v>98</v>
      </c>
      <c r="R161" s="35" t="s">
        <v>14</v>
      </c>
    </row>
    <row r="162" spans="1:18" s="34" customFormat="1">
      <c r="A162" s="34" t="s">
        <v>14</v>
      </c>
      <c r="B162" s="34" t="s">
        <v>31</v>
      </c>
      <c r="C162" s="34">
        <v>12</v>
      </c>
      <c r="D162" s="34" t="s">
        <v>748</v>
      </c>
      <c r="E162" s="34" t="s">
        <v>756</v>
      </c>
      <c r="N162" s="34" t="s">
        <v>99</v>
      </c>
      <c r="R162" s="35" t="s">
        <v>14</v>
      </c>
    </row>
    <row r="163" spans="1:18" s="34" customFormat="1">
      <c r="A163" s="34" t="s">
        <v>14</v>
      </c>
      <c r="B163" s="34" t="s">
        <v>31</v>
      </c>
      <c r="C163" s="34">
        <v>12</v>
      </c>
      <c r="D163" s="34" t="s">
        <v>749</v>
      </c>
      <c r="E163" s="34" t="s">
        <v>756</v>
      </c>
      <c r="N163" s="34" t="s">
        <v>100</v>
      </c>
      <c r="R163" s="35" t="s">
        <v>14</v>
      </c>
    </row>
    <row r="164" spans="1:18" s="34" customFormat="1">
      <c r="A164" s="34" t="s">
        <v>14</v>
      </c>
      <c r="B164" s="34" t="s">
        <v>31</v>
      </c>
      <c r="C164" s="34">
        <v>12</v>
      </c>
      <c r="D164" s="34" t="s">
        <v>750</v>
      </c>
      <c r="E164" s="34" t="s">
        <v>756</v>
      </c>
      <c r="N164" s="34" t="s">
        <v>101</v>
      </c>
      <c r="R164" s="35" t="s">
        <v>14</v>
      </c>
    </row>
    <row r="165" spans="1:18" s="34" customFormat="1">
      <c r="A165" s="34" t="s">
        <v>14</v>
      </c>
      <c r="B165" s="34" t="s">
        <v>31</v>
      </c>
      <c r="C165" s="34">
        <v>12</v>
      </c>
      <c r="D165" s="34" t="s">
        <v>746</v>
      </c>
      <c r="E165" s="34" t="s">
        <v>758</v>
      </c>
      <c r="N165" s="34" t="s">
        <v>96</v>
      </c>
      <c r="R165" s="35" t="s">
        <v>14</v>
      </c>
    </row>
    <row r="166" spans="1:18" s="34" customFormat="1">
      <c r="A166" s="34" t="s">
        <v>14</v>
      </c>
      <c r="B166" s="34" t="s">
        <v>31</v>
      </c>
      <c r="C166" s="34">
        <v>12</v>
      </c>
      <c r="D166" s="34" t="s">
        <v>747</v>
      </c>
      <c r="E166" s="34" t="s">
        <v>758</v>
      </c>
      <c r="N166" s="34" t="s">
        <v>98</v>
      </c>
      <c r="R166" s="35" t="s">
        <v>14</v>
      </c>
    </row>
    <row r="167" spans="1:18" s="34" customFormat="1">
      <c r="A167" s="34" t="s">
        <v>14</v>
      </c>
      <c r="B167" s="34" t="s">
        <v>31</v>
      </c>
      <c r="C167" s="34">
        <v>12</v>
      </c>
      <c r="D167" s="34" t="s">
        <v>748</v>
      </c>
      <c r="E167" s="34" t="s">
        <v>758</v>
      </c>
      <c r="N167" s="34" t="s">
        <v>99</v>
      </c>
      <c r="R167" s="35" t="s">
        <v>14</v>
      </c>
    </row>
    <row r="168" spans="1:18" s="34" customFormat="1">
      <c r="A168" s="34" t="s">
        <v>14</v>
      </c>
      <c r="B168" s="34" t="s">
        <v>31</v>
      </c>
      <c r="C168" s="34">
        <v>12</v>
      </c>
      <c r="D168" s="34" t="s">
        <v>749</v>
      </c>
      <c r="E168" s="34" t="s">
        <v>758</v>
      </c>
      <c r="N168" s="34" t="s">
        <v>100</v>
      </c>
      <c r="R168" s="35" t="s">
        <v>14</v>
      </c>
    </row>
    <row r="169" spans="1:18" s="34" customFormat="1">
      <c r="A169" s="34" t="s">
        <v>14</v>
      </c>
      <c r="B169" s="34" t="s">
        <v>31</v>
      </c>
      <c r="C169" s="34">
        <v>12</v>
      </c>
      <c r="D169" s="34" t="s">
        <v>750</v>
      </c>
      <c r="E169" s="34" t="s">
        <v>758</v>
      </c>
      <c r="N169" s="34" t="s">
        <v>101</v>
      </c>
      <c r="R169" s="35" t="s">
        <v>14</v>
      </c>
    </row>
    <row r="170" spans="1:18" s="58" customFormat="1">
      <c r="A170" s="58" t="s">
        <v>14</v>
      </c>
      <c r="B170" s="58" t="s">
        <v>31</v>
      </c>
      <c r="C170" s="58">
        <v>12</v>
      </c>
      <c r="D170" s="58" t="s">
        <v>718</v>
      </c>
      <c r="E170" s="58" t="s">
        <v>660</v>
      </c>
      <c r="N170" s="58" t="s">
        <v>792</v>
      </c>
      <c r="R170" s="59" t="s">
        <v>14</v>
      </c>
    </row>
    <row r="171" spans="1:18" s="34" customFormat="1">
      <c r="A171" s="34" t="s">
        <v>14</v>
      </c>
      <c r="B171" s="34" t="s">
        <v>31</v>
      </c>
      <c r="C171" s="34">
        <v>12</v>
      </c>
      <c r="D171" s="34" t="s">
        <v>719</v>
      </c>
      <c r="E171" s="34" t="s">
        <v>655</v>
      </c>
      <c r="N171" s="34" t="s">
        <v>792</v>
      </c>
      <c r="R171" s="35" t="s">
        <v>14</v>
      </c>
    </row>
    <row r="172" spans="1:18" s="34" customFormat="1">
      <c r="A172" s="34" t="s">
        <v>14</v>
      </c>
      <c r="B172" s="34" t="s">
        <v>31</v>
      </c>
      <c r="C172" s="34">
        <v>12</v>
      </c>
      <c r="D172" s="34" t="s">
        <v>720</v>
      </c>
      <c r="E172" s="34" t="s">
        <v>661</v>
      </c>
      <c r="N172" s="34" t="s">
        <v>792</v>
      </c>
      <c r="R172" s="35" t="s">
        <v>14</v>
      </c>
    </row>
    <row r="173" spans="1:18" s="34" customFormat="1">
      <c r="A173" s="34" t="s">
        <v>14</v>
      </c>
      <c r="B173" s="34" t="s">
        <v>31</v>
      </c>
      <c r="C173" s="34">
        <v>12</v>
      </c>
      <c r="D173" s="34" t="s">
        <v>721</v>
      </c>
      <c r="E173" s="34" t="s">
        <v>656</v>
      </c>
      <c r="N173" s="34" t="s">
        <v>792</v>
      </c>
      <c r="R173" s="35" t="s">
        <v>14</v>
      </c>
    </row>
    <row r="174" spans="1:18" s="46" customFormat="1">
      <c r="A174" s="46" t="s">
        <v>14</v>
      </c>
      <c r="B174" s="46" t="s">
        <v>27</v>
      </c>
      <c r="C174" s="46">
        <v>12</v>
      </c>
      <c r="D174" s="46" t="s">
        <v>727</v>
      </c>
      <c r="E174" s="46" t="s">
        <v>757</v>
      </c>
      <c r="F174" s="46" t="s">
        <v>759</v>
      </c>
      <c r="R174" s="47" t="s">
        <v>14</v>
      </c>
    </row>
    <row r="175" spans="1:18" s="34" customFormat="1">
      <c r="A175" s="34" t="s">
        <v>14</v>
      </c>
      <c r="B175" s="34" t="s">
        <v>31</v>
      </c>
      <c r="C175" s="34">
        <v>12</v>
      </c>
      <c r="D175" s="34" t="s">
        <v>798</v>
      </c>
      <c r="E175" s="34" t="s">
        <v>757</v>
      </c>
      <c r="N175" s="34" t="s">
        <v>786</v>
      </c>
      <c r="R175" s="35" t="s">
        <v>14</v>
      </c>
    </row>
    <row r="176" spans="1:18" s="34" customFormat="1">
      <c r="A176" s="34" t="s">
        <v>14</v>
      </c>
      <c r="B176" s="34" t="s">
        <v>31</v>
      </c>
      <c r="C176" s="34">
        <v>12</v>
      </c>
      <c r="D176" s="34" t="s">
        <v>799</v>
      </c>
      <c r="E176" s="34" t="s">
        <v>757</v>
      </c>
      <c r="N176" s="34" t="s">
        <v>787</v>
      </c>
      <c r="R176" s="35" t="s">
        <v>14</v>
      </c>
    </row>
    <row r="177" spans="1:18" s="34" customFormat="1">
      <c r="A177" s="34" t="s">
        <v>14</v>
      </c>
      <c r="B177" s="34" t="s">
        <v>31</v>
      </c>
      <c r="C177" s="34">
        <v>12</v>
      </c>
      <c r="D177" s="34" t="s">
        <v>800</v>
      </c>
      <c r="E177" s="34" t="s">
        <v>757</v>
      </c>
      <c r="N177" s="34" t="s">
        <v>788</v>
      </c>
      <c r="R177" s="35" t="s">
        <v>14</v>
      </c>
    </row>
    <row r="178" spans="1:18" s="34" customFormat="1">
      <c r="A178" s="34" t="s">
        <v>14</v>
      </c>
      <c r="B178" s="34" t="s">
        <v>31</v>
      </c>
      <c r="C178" s="34">
        <v>12</v>
      </c>
      <c r="D178" s="34" t="s">
        <v>801</v>
      </c>
      <c r="E178" s="34" t="s">
        <v>757</v>
      </c>
      <c r="N178" s="34" t="s">
        <v>789</v>
      </c>
      <c r="R178" s="35" t="s">
        <v>14</v>
      </c>
    </row>
    <row r="179" spans="1:18" s="34" customFormat="1">
      <c r="A179" s="34" t="s">
        <v>14</v>
      </c>
      <c r="B179" s="34" t="s">
        <v>31</v>
      </c>
      <c r="C179" s="34">
        <v>12</v>
      </c>
      <c r="D179" s="34" t="s">
        <v>802</v>
      </c>
      <c r="E179" s="34" t="s">
        <v>757</v>
      </c>
      <c r="N179" s="34" t="s">
        <v>790</v>
      </c>
      <c r="R179" s="35" t="s">
        <v>14</v>
      </c>
    </row>
    <row r="180" spans="1:18" s="34" customFormat="1">
      <c r="A180" s="34" t="s">
        <v>14</v>
      </c>
      <c r="B180" s="34" t="s">
        <v>31</v>
      </c>
      <c r="C180" s="34">
        <v>12</v>
      </c>
      <c r="D180" s="34" t="s">
        <v>798</v>
      </c>
      <c r="E180" s="34" t="s">
        <v>759</v>
      </c>
      <c r="N180" s="34" t="s">
        <v>786</v>
      </c>
      <c r="R180" s="35" t="s">
        <v>14</v>
      </c>
    </row>
    <row r="181" spans="1:18" s="34" customFormat="1">
      <c r="A181" s="34" t="s">
        <v>14</v>
      </c>
      <c r="B181" s="34" t="s">
        <v>31</v>
      </c>
      <c r="C181" s="34">
        <v>12</v>
      </c>
      <c r="D181" s="34" t="s">
        <v>799</v>
      </c>
      <c r="E181" s="34" t="s">
        <v>759</v>
      </c>
      <c r="N181" s="34" t="s">
        <v>787</v>
      </c>
      <c r="R181" s="35" t="s">
        <v>14</v>
      </c>
    </row>
    <row r="182" spans="1:18" s="34" customFormat="1">
      <c r="A182" s="34" t="s">
        <v>14</v>
      </c>
      <c r="B182" s="34" t="s">
        <v>31</v>
      </c>
      <c r="C182" s="34">
        <v>12</v>
      </c>
      <c r="D182" s="34" t="s">
        <v>800</v>
      </c>
      <c r="E182" s="34" t="s">
        <v>759</v>
      </c>
      <c r="N182" s="34" t="s">
        <v>788</v>
      </c>
      <c r="R182" s="35" t="s">
        <v>14</v>
      </c>
    </row>
    <row r="183" spans="1:18" s="34" customFormat="1">
      <c r="A183" s="34" t="s">
        <v>14</v>
      </c>
      <c r="B183" s="34" t="s">
        <v>31</v>
      </c>
      <c r="C183" s="34">
        <v>12</v>
      </c>
      <c r="D183" s="34" t="s">
        <v>801</v>
      </c>
      <c r="E183" s="34" t="s">
        <v>759</v>
      </c>
      <c r="N183" s="34" t="s">
        <v>789</v>
      </c>
      <c r="R183" s="35" t="s">
        <v>14</v>
      </c>
    </row>
    <row r="184" spans="1:18" s="34" customFormat="1">
      <c r="A184" s="34" t="s">
        <v>14</v>
      </c>
      <c r="B184" s="34" t="s">
        <v>31</v>
      </c>
      <c r="C184" s="34">
        <v>12</v>
      </c>
      <c r="D184" s="34" t="s">
        <v>802</v>
      </c>
      <c r="E184" s="34" t="s">
        <v>759</v>
      </c>
      <c r="N184" s="34" t="s">
        <v>790</v>
      </c>
      <c r="R184" s="35" t="s">
        <v>14</v>
      </c>
    </row>
    <row r="185" spans="1:18" s="34" customFormat="1">
      <c r="A185" s="34" t="s">
        <v>14</v>
      </c>
      <c r="B185" s="34" t="s">
        <v>31</v>
      </c>
      <c r="C185" s="34">
        <v>12</v>
      </c>
      <c r="D185" s="34" t="s">
        <v>803</v>
      </c>
      <c r="E185" s="34" t="s">
        <v>757</v>
      </c>
      <c r="N185" s="34" t="s">
        <v>786</v>
      </c>
      <c r="R185" s="35" t="s">
        <v>14</v>
      </c>
    </row>
    <row r="186" spans="1:18" s="34" customFormat="1">
      <c r="A186" s="34" t="s">
        <v>14</v>
      </c>
      <c r="B186" s="34" t="s">
        <v>31</v>
      </c>
      <c r="C186" s="34">
        <v>12</v>
      </c>
      <c r="D186" s="34" t="s">
        <v>804</v>
      </c>
      <c r="E186" s="34" t="s">
        <v>757</v>
      </c>
      <c r="N186" s="34" t="s">
        <v>787</v>
      </c>
      <c r="R186" s="35" t="s">
        <v>14</v>
      </c>
    </row>
    <row r="187" spans="1:18" s="34" customFormat="1">
      <c r="A187" s="34" t="s">
        <v>14</v>
      </c>
      <c r="B187" s="34" t="s">
        <v>31</v>
      </c>
      <c r="C187" s="34">
        <v>12</v>
      </c>
      <c r="D187" s="34" t="s">
        <v>805</v>
      </c>
      <c r="E187" s="34" t="s">
        <v>757</v>
      </c>
      <c r="N187" s="34" t="s">
        <v>788</v>
      </c>
      <c r="R187" s="35" t="s">
        <v>14</v>
      </c>
    </row>
    <row r="188" spans="1:18" s="34" customFormat="1">
      <c r="A188" s="34" t="s">
        <v>14</v>
      </c>
      <c r="B188" s="34" t="s">
        <v>31</v>
      </c>
      <c r="C188" s="34">
        <v>12</v>
      </c>
      <c r="D188" s="34" t="s">
        <v>806</v>
      </c>
      <c r="E188" s="34" t="s">
        <v>757</v>
      </c>
      <c r="N188" s="34" t="s">
        <v>789</v>
      </c>
      <c r="R188" s="35" t="s">
        <v>14</v>
      </c>
    </row>
    <row r="189" spans="1:18" s="34" customFormat="1">
      <c r="A189" s="34" t="s">
        <v>14</v>
      </c>
      <c r="B189" s="34" t="s">
        <v>31</v>
      </c>
      <c r="C189" s="34">
        <v>12</v>
      </c>
      <c r="D189" s="34" t="s">
        <v>807</v>
      </c>
      <c r="E189" s="34" t="s">
        <v>757</v>
      </c>
      <c r="N189" s="34" t="s">
        <v>790</v>
      </c>
      <c r="R189" s="35" t="s">
        <v>14</v>
      </c>
    </row>
    <row r="190" spans="1:18" s="34" customFormat="1">
      <c r="A190" s="34" t="s">
        <v>14</v>
      </c>
      <c r="B190" s="34" t="s">
        <v>31</v>
      </c>
      <c r="C190" s="34">
        <v>12</v>
      </c>
      <c r="D190" s="34" t="s">
        <v>803</v>
      </c>
      <c r="E190" s="34" t="s">
        <v>759</v>
      </c>
      <c r="N190" s="34" t="s">
        <v>786</v>
      </c>
      <c r="R190" s="35" t="s">
        <v>14</v>
      </c>
    </row>
    <row r="191" spans="1:18" s="34" customFormat="1">
      <c r="A191" s="34" t="s">
        <v>14</v>
      </c>
      <c r="B191" s="34" t="s">
        <v>31</v>
      </c>
      <c r="C191" s="34">
        <v>12</v>
      </c>
      <c r="D191" s="34" t="s">
        <v>804</v>
      </c>
      <c r="E191" s="34" t="s">
        <v>759</v>
      </c>
      <c r="N191" s="34" t="s">
        <v>787</v>
      </c>
      <c r="R191" s="35" t="s">
        <v>14</v>
      </c>
    </row>
    <row r="192" spans="1:18" s="34" customFormat="1">
      <c r="A192" s="34" t="s">
        <v>14</v>
      </c>
      <c r="B192" s="34" t="s">
        <v>31</v>
      </c>
      <c r="C192" s="34">
        <v>12</v>
      </c>
      <c r="D192" s="34" t="s">
        <v>805</v>
      </c>
      <c r="E192" s="34" t="s">
        <v>759</v>
      </c>
      <c r="N192" s="34" t="s">
        <v>788</v>
      </c>
      <c r="R192" s="35" t="s">
        <v>14</v>
      </c>
    </row>
    <row r="193" spans="1:18" s="34" customFormat="1">
      <c r="A193" s="34" t="s">
        <v>14</v>
      </c>
      <c r="B193" s="34" t="s">
        <v>31</v>
      </c>
      <c r="C193" s="34">
        <v>12</v>
      </c>
      <c r="D193" s="34" t="s">
        <v>806</v>
      </c>
      <c r="E193" s="34" t="s">
        <v>759</v>
      </c>
      <c r="N193" s="34" t="s">
        <v>789</v>
      </c>
      <c r="R193" s="35" t="s">
        <v>14</v>
      </c>
    </row>
    <row r="194" spans="1:18" s="34" customFormat="1">
      <c r="A194" s="34" t="s">
        <v>14</v>
      </c>
      <c r="B194" s="34" t="s">
        <v>31</v>
      </c>
      <c r="C194" s="34">
        <v>12</v>
      </c>
      <c r="D194" s="34" t="s">
        <v>807</v>
      </c>
      <c r="E194" s="34" t="s">
        <v>759</v>
      </c>
      <c r="N194" s="34" t="s">
        <v>790</v>
      </c>
      <c r="R194" s="35" t="s">
        <v>14</v>
      </c>
    </row>
    <row r="195" spans="1:18" s="56" customFormat="1">
      <c r="A195" s="56" t="s">
        <v>14</v>
      </c>
      <c r="B195" s="56" t="s">
        <v>31</v>
      </c>
      <c r="C195" s="56">
        <v>13</v>
      </c>
      <c r="D195" s="56" t="s">
        <v>715</v>
      </c>
      <c r="E195" s="56" t="s">
        <v>756</v>
      </c>
      <c r="N195" s="56" t="s">
        <v>793</v>
      </c>
      <c r="R195" s="57" t="s">
        <v>14</v>
      </c>
    </row>
    <row r="196" spans="1:18" s="34" customFormat="1">
      <c r="A196" s="34" t="s">
        <v>14</v>
      </c>
      <c r="B196" s="34" t="s">
        <v>31</v>
      </c>
      <c r="C196" s="34">
        <v>13</v>
      </c>
      <c r="D196" s="34" t="s">
        <v>714</v>
      </c>
      <c r="E196" s="34" t="s">
        <v>757</v>
      </c>
      <c r="N196" s="34" t="s">
        <v>793</v>
      </c>
      <c r="R196" s="35" t="s">
        <v>14</v>
      </c>
    </row>
    <row r="197" spans="1:18" s="34" customFormat="1">
      <c r="A197" s="34" t="s">
        <v>14</v>
      </c>
      <c r="B197" s="34" t="s">
        <v>31</v>
      </c>
      <c r="C197" s="34">
        <v>13</v>
      </c>
      <c r="D197" s="34" t="s">
        <v>716</v>
      </c>
      <c r="E197" s="34" t="s">
        <v>758</v>
      </c>
      <c r="N197" s="34" t="s">
        <v>793</v>
      </c>
      <c r="R197" s="35" t="s">
        <v>14</v>
      </c>
    </row>
    <row r="198" spans="1:18" s="34" customFormat="1">
      <c r="A198" s="34" t="s">
        <v>14</v>
      </c>
      <c r="B198" s="34" t="s">
        <v>31</v>
      </c>
      <c r="C198" s="34">
        <v>13</v>
      </c>
      <c r="D198" s="34" t="s">
        <v>717</v>
      </c>
      <c r="E198" s="34" t="s">
        <v>759</v>
      </c>
      <c r="N198" s="34" t="s">
        <v>793</v>
      </c>
      <c r="R198" s="35" t="s">
        <v>14</v>
      </c>
    </row>
    <row r="199" spans="1:18" s="58" customFormat="1">
      <c r="A199" s="58" t="s">
        <v>14</v>
      </c>
      <c r="B199" s="58" t="s">
        <v>31</v>
      </c>
      <c r="C199" s="58">
        <v>13</v>
      </c>
      <c r="D199" s="58" t="s">
        <v>718</v>
      </c>
      <c r="E199" s="58" t="s">
        <v>660</v>
      </c>
      <c r="N199" s="58" t="s">
        <v>794</v>
      </c>
      <c r="R199" s="59" t="s">
        <v>14</v>
      </c>
    </row>
    <row r="200" spans="1:18" s="34" customFormat="1">
      <c r="A200" s="34" t="s">
        <v>14</v>
      </c>
      <c r="B200" s="34" t="s">
        <v>31</v>
      </c>
      <c r="C200" s="34">
        <v>13</v>
      </c>
      <c r="D200" s="34" t="s">
        <v>719</v>
      </c>
      <c r="E200" s="34" t="s">
        <v>655</v>
      </c>
      <c r="N200" s="34" t="s">
        <v>794</v>
      </c>
      <c r="R200" s="35" t="s">
        <v>14</v>
      </c>
    </row>
    <row r="201" spans="1:18" s="34" customFormat="1">
      <c r="A201" s="34" t="s">
        <v>14</v>
      </c>
      <c r="B201" s="34" t="s">
        <v>31</v>
      </c>
      <c r="C201" s="34">
        <v>13</v>
      </c>
      <c r="D201" s="34" t="s">
        <v>720</v>
      </c>
      <c r="E201" s="34" t="s">
        <v>661</v>
      </c>
      <c r="N201" s="34" t="s">
        <v>794</v>
      </c>
      <c r="R201" s="35" t="s">
        <v>14</v>
      </c>
    </row>
    <row r="202" spans="1:18" s="34" customFormat="1">
      <c r="A202" s="34" t="s">
        <v>14</v>
      </c>
      <c r="B202" s="34" t="s">
        <v>31</v>
      </c>
      <c r="C202" s="34">
        <v>13</v>
      </c>
      <c r="D202" s="34" t="s">
        <v>721</v>
      </c>
      <c r="E202" s="34" t="s">
        <v>656</v>
      </c>
      <c r="N202" s="34" t="s">
        <v>794</v>
      </c>
      <c r="R202" s="35" t="s">
        <v>14</v>
      </c>
    </row>
    <row r="203" spans="1:18" s="58" customFormat="1">
      <c r="A203" s="58" t="s">
        <v>14</v>
      </c>
      <c r="B203" s="58" t="s">
        <v>31</v>
      </c>
      <c r="C203" s="58">
        <v>13</v>
      </c>
      <c r="D203" s="58" t="s">
        <v>722</v>
      </c>
      <c r="E203" s="58" t="s">
        <v>660</v>
      </c>
      <c r="N203" s="58" t="s">
        <v>795</v>
      </c>
      <c r="R203" s="59" t="s">
        <v>14</v>
      </c>
    </row>
    <row r="204" spans="1:18" s="34" customFormat="1">
      <c r="A204" s="34" t="s">
        <v>14</v>
      </c>
      <c r="B204" s="34" t="s">
        <v>31</v>
      </c>
      <c r="C204" s="34">
        <v>13</v>
      </c>
      <c r="D204" s="34" t="s">
        <v>723</v>
      </c>
      <c r="E204" s="34" t="s">
        <v>655</v>
      </c>
      <c r="N204" s="34" t="s">
        <v>795</v>
      </c>
      <c r="R204" s="35" t="s">
        <v>14</v>
      </c>
    </row>
    <row r="205" spans="1:18" s="34" customFormat="1">
      <c r="A205" s="34" t="s">
        <v>14</v>
      </c>
      <c r="B205" s="34" t="s">
        <v>31</v>
      </c>
      <c r="C205" s="34">
        <v>13</v>
      </c>
      <c r="D205" s="34" t="s">
        <v>724</v>
      </c>
      <c r="E205" s="34" t="s">
        <v>661</v>
      </c>
      <c r="N205" s="34" t="s">
        <v>795</v>
      </c>
      <c r="R205" s="35" t="s">
        <v>14</v>
      </c>
    </row>
    <row r="206" spans="1:18" s="34" customFormat="1">
      <c r="A206" s="34" t="s">
        <v>14</v>
      </c>
      <c r="B206" s="34" t="s">
        <v>31</v>
      </c>
      <c r="C206" s="34">
        <v>13</v>
      </c>
      <c r="D206" s="34" t="s">
        <v>725</v>
      </c>
      <c r="E206" s="34" t="s">
        <v>656</v>
      </c>
      <c r="N206" s="34" t="s">
        <v>795</v>
      </c>
      <c r="R206" s="35" t="s">
        <v>14</v>
      </c>
    </row>
    <row r="207" spans="1:18" s="58" customFormat="1">
      <c r="A207" s="58" t="s">
        <v>14</v>
      </c>
      <c r="B207" s="58" t="s">
        <v>31</v>
      </c>
      <c r="C207" s="58">
        <v>13</v>
      </c>
      <c r="D207" s="58" t="s">
        <v>728</v>
      </c>
      <c r="E207" s="58" t="s">
        <v>660</v>
      </c>
      <c r="N207" s="58" t="s">
        <v>796</v>
      </c>
      <c r="R207" s="59" t="s">
        <v>14</v>
      </c>
    </row>
    <row r="208" spans="1:18" s="34" customFormat="1">
      <c r="A208" s="34" t="s">
        <v>14</v>
      </c>
      <c r="B208" s="34" t="s">
        <v>31</v>
      </c>
      <c r="C208" s="34">
        <v>13</v>
      </c>
      <c r="D208" s="34" t="s">
        <v>729</v>
      </c>
      <c r="E208" s="34" t="s">
        <v>655</v>
      </c>
      <c r="N208" s="34" t="s">
        <v>796</v>
      </c>
      <c r="R208" s="35" t="s">
        <v>14</v>
      </c>
    </row>
    <row r="209" spans="1:18" s="34" customFormat="1">
      <c r="A209" s="34" t="s">
        <v>14</v>
      </c>
      <c r="B209" s="34" t="s">
        <v>31</v>
      </c>
      <c r="C209" s="34">
        <v>13</v>
      </c>
      <c r="D209" s="34" t="s">
        <v>730</v>
      </c>
      <c r="E209" s="34" t="s">
        <v>661</v>
      </c>
      <c r="N209" s="34" t="s">
        <v>796</v>
      </c>
      <c r="R209" s="35" t="s">
        <v>14</v>
      </c>
    </row>
    <row r="210" spans="1:18" s="34" customFormat="1">
      <c r="A210" s="34" t="s">
        <v>14</v>
      </c>
      <c r="B210" s="34" t="s">
        <v>31</v>
      </c>
      <c r="C210" s="34">
        <v>13</v>
      </c>
      <c r="D210" s="34" t="s">
        <v>731</v>
      </c>
      <c r="E210" s="34" t="s">
        <v>656</v>
      </c>
      <c r="N210" s="34" t="s">
        <v>796</v>
      </c>
      <c r="R210" s="35" t="s">
        <v>14</v>
      </c>
    </row>
    <row r="211" spans="1:18" s="58" customFormat="1">
      <c r="A211" s="58" t="s">
        <v>14</v>
      </c>
      <c r="B211" s="58" t="s">
        <v>31</v>
      </c>
      <c r="C211" s="58">
        <v>13</v>
      </c>
      <c r="D211" s="58" t="s">
        <v>732</v>
      </c>
      <c r="E211" s="58" t="s">
        <v>660</v>
      </c>
      <c r="N211" s="58" t="s">
        <v>797</v>
      </c>
      <c r="R211" s="59" t="s">
        <v>14</v>
      </c>
    </row>
    <row r="212" spans="1:18" s="34" customFormat="1">
      <c r="A212" s="34" t="s">
        <v>14</v>
      </c>
      <c r="B212" s="34" t="s">
        <v>31</v>
      </c>
      <c r="C212" s="34">
        <v>13</v>
      </c>
      <c r="D212" s="34" t="s">
        <v>733</v>
      </c>
      <c r="E212" s="34" t="s">
        <v>655</v>
      </c>
      <c r="N212" s="34" t="s">
        <v>797</v>
      </c>
      <c r="R212" s="35" t="s">
        <v>14</v>
      </c>
    </row>
    <row r="213" spans="1:18" s="34" customFormat="1">
      <c r="A213" s="34" t="s">
        <v>14</v>
      </c>
      <c r="B213" s="34" t="s">
        <v>31</v>
      </c>
      <c r="C213" s="34">
        <v>13</v>
      </c>
      <c r="D213" s="34" t="s">
        <v>734</v>
      </c>
      <c r="E213" s="34" t="s">
        <v>661</v>
      </c>
      <c r="N213" s="34" t="s">
        <v>797</v>
      </c>
      <c r="R213" s="35" t="s">
        <v>14</v>
      </c>
    </row>
    <row r="214" spans="1:18" s="34" customFormat="1">
      <c r="A214" s="34" t="s">
        <v>14</v>
      </c>
      <c r="B214" s="34" t="s">
        <v>31</v>
      </c>
      <c r="C214" s="34">
        <v>13</v>
      </c>
      <c r="D214" s="34" t="s">
        <v>735</v>
      </c>
      <c r="E214" s="34" t="s">
        <v>656</v>
      </c>
      <c r="N214" s="34" t="s">
        <v>797</v>
      </c>
      <c r="R214" s="35" t="s">
        <v>14</v>
      </c>
    </row>
    <row r="215" spans="1:18" s="56" customFormat="1">
      <c r="A215" s="56" t="s">
        <v>14</v>
      </c>
      <c r="B215" s="56" t="s">
        <v>294</v>
      </c>
      <c r="C215" s="56">
        <v>18</v>
      </c>
      <c r="D215" s="56" t="s">
        <v>43</v>
      </c>
      <c r="E215" s="56" t="s">
        <v>752</v>
      </c>
      <c r="F215" s="56" t="s">
        <v>753</v>
      </c>
      <c r="M215" s="56" t="s">
        <v>379</v>
      </c>
      <c r="N215" s="56" t="s">
        <v>751</v>
      </c>
      <c r="O215" s="56" t="s">
        <v>383</v>
      </c>
      <c r="R215" s="57" t="s">
        <v>14</v>
      </c>
    </row>
  </sheetData>
  <autoFilter ref="A1:R84" xr:uid="{00000000-0009-0000-0000-000003000000}"/>
  <phoneticPr fontId="56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C2B6C-C0AC-4814-8700-C96B1364FB09}">
  <sheetPr codeName="Feuil9"/>
  <dimension ref="A1:R207"/>
  <sheetViews>
    <sheetView zoomScale="85" zoomScaleNormal="85" workbookViewId="0">
      <pane xSplit="3" ySplit="2" topLeftCell="D111" activePane="bottomRight" state="frozen"/>
      <selection activeCell="D27" sqref="D27"/>
      <selection pane="topRight" activeCell="D27" sqref="D27"/>
      <selection pane="bottomLeft" activeCell="D27" sqref="D27"/>
      <selection pane="bottomRight" activeCell="H125" sqref="H125"/>
    </sheetView>
  </sheetViews>
  <sheetFormatPr baseColWidth="10" defaultColWidth="11.42578125" defaultRowHeight="15"/>
  <cols>
    <col min="1" max="1" width="6.140625" style="19" bestFit="1" customWidth="1"/>
    <col min="2" max="2" width="22.7109375" style="19" bestFit="1" customWidth="1"/>
    <col min="3" max="3" width="8.140625" style="19" customWidth="1"/>
    <col min="4" max="4" width="11.85546875" style="19" customWidth="1"/>
    <col min="5" max="6" width="61.42578125" style="19" customWidth="1"/>
    <col min="7" max="12" width="5.140625" style="19" customWidth="1"/>
    <col min="13" max="13" width="19" style="19" bestFit="1" customWidth="1"/>
    <col min="14" max="14" width="50" style="19" customWidth="1"/>
    <col min="15" max="15" width="9.7109375" style="19" bestFit="1" customWidth="1"/>
    <col min="16" max="16" width="11.5703125" style="19" customWidth="1"/>
    <col min="17" max="17" width="10.42578125" style="19" customWidth="1"/>
    <col min="18" max="18" width="8" style="18" customWidth="1"/>
    <col min="19" max="16384" width="11.42578125" style="21"/>
  </cols>
  <sheetData>
    <row r="1" spans="1:18">
      <c r="A1" s="19" t="s">
        <v>13</v>
      </c>
      <c r="B1" s="19" t="s">
        <v>15</v>
      </c>
      <c r="C1" s="19" t="s">
        <v>16</v>
      </c>
      <c r="D1" s="19" t="s">
        <v>17</v>
      </c>
      <c r="E1" s="19" t="s">
        <v>18</v>
      </c>
      <c r="F1" s="19" t="s">
        <v>19</v>
      </c>
      <c r="G1" s="19" t="s">
        <v>20</v>
      </c>
      <c r="H1" s="19" t="s">
        <v>29</v>
      </c>
      <c r="I1" s="19" t="s">
        <v>35</v>
      </c>
      <c r="J1" s="19" t="s">
        <v>34</v>
      </c>
      <c r="K1" s="19" t="s">
        <v>33</v>
      </c>
      <c r="L1" s="19" t="s">
        <v>32</v>
      </c>
      <c r="M1" s="19" t="s">
        <v>21</v>
      </c>
      <c r="N1" s="19" t="s">
        <v>22</v>
      </c>
      <c r="O1" s="19" t="s">
        <v>23</v>
      </c>
      <c r="P1" s="19" t="s">
        <v>24</v>
      </c>
      <c r="Q1" s="19" t="s">
        <v>25</v>
      </c>
      <c r="R1" s="18" t="s">
        <v>26</v>
      </c>
    </row>
    <row r="2" spans="1:18">
      <c r="A2" s="21" t="s">
        <v>14</v>
      </c>
      <c r="B2" s="21" t="s">
        <v>30</v>
      </c>
      <c r="C2" s="21"/>
      <c r="D2" s="21" t="s">
        <v>50</v>
      </c>
      <c r="E2" s="21"/>
      <c r="F2" s="21"/>
      <c r="G2" s="21"/>
      <c r="H2" s="21"/>
      <c r="I2" s="21"/>
      <c r="J2" s="21"/>
      <c r="K2" s="21"/>
      <c r="L2" s="21"/>
      <c r="M2" s="21"/>
      <c r="N2" s="21" t="s">
        <v>28</v>
      </c>
      <c r="O2" s="21"/>
      <c r="P2" s="21"/>
      <c r="Q2" s="21"/>
      <c r="R2" s="20"/>
    </row>
    <row r="3" spans="1:18" s="56" customFormat="1">
      <c r="A3" s="56" t="s">
        <v>14</v>
      </c>
      <c r="B3" s="56" t="s">
        <v>31</v>
      </c>
      <c r="C3" s="56">
        <v>2</v>
      </c>
      <c r="D3" s="56" t="s">
        <v>143</v>
      </c>
      <c r="E3" s="56" t="s">
        <v>145</v>
      </c>
      <c r="N3" s="56" t="s">
        <v>68</v>
      </c>
      <c r="O3" s="56" t="s">
        <v>136</v>
      </c>
      <c r="P3" s="56" t="s">
        <v>157</v>
      </c>
      <c r="R3" s="57" t="s">
        <v>14</v>
      </c>
    </row>
    <row r="4" spans="1:18" s="19" customFormat="1">
      <c r="A4" s="19" t="s">
        <v>14</v>
      </c>
      <c r="B4" s="19" t="s">
        <v>31</v>
      </c>
      <c r="C4" s="19">
        <v>2</v>
      </c>
      <c r="D4" s="19" t="s">
        <v>147</v>
      </c>
      <c r="E4" s="19" t="s">
        <v>145</v>
      </c>
      <c r="N4" s="19" t="s">
        <v>47</v>
      </c>
      <c r="O4" s="19" t="s">
        <v>136</v>
      </c>
      <c r="R4" s="18" t="s">
        <v>14</v>
      </c>
    </row>
    <row r="5" spans="1:18" s="34" customFormat="1">
      <c r="A5" s="34" t="s">
        <v>14</v>
      </c>
      <c r="B5" s="34" t="s">
        <v>31</v>
      </c>
      <c r="C5" s="34">
        <v>2</v>
      </c>
      <c r="D5" s="34" t="s">
        <v>148</v>
      </c>
      <c r="E5" s="34" t="s">
        <v>146</v>
      </c>
      <c r="N5" s="34" t="s">
        <v>47</v>
      </c>
      <c r="O5" s="34" t="s">
        <v>136</v>
      </c>
      <c r="R5" s="35" t="s">
        <v>14</v>
      </c>
    </row>
    <row r="6" spans="1:18" s="34" customFormat="1">
      <c r="A6" s="34" t="s">
        <v>14</v>
      </c>
      <c r="B6" s="34" t="s">
        <v>31</v>
      </c>
      <c r="C6" s="34">
        <v>2</v>
      </c>
      <c r="D6" s="34" t="s">
        <v>149</v>
      </c>
      <c r="E6" s="34" t="s">
        <v>144</v>
      </c>
      <c r="N6" s="34" t="s">
        <v>47</v>
      </c>
      <c r="O6" s="34" t="s">
        <v>136</v>
      </c>
      <c r="R6" s="35" t="s">
        <v>14</v>
      </c>
    </row>
    <row r="7" spans="1:18" s="46" customFormat="1">
      <c r="A7" s="46" t="s">
        <v>14</v>
      </c>
      <c r="B7" s="46" t="s">
        <v>31</v>
      </c>
      <c r="C7" s="46">
        <v>2</v>
      </c>
      <c r="D7" s="46" t="s">
        <v>142</v>
      </c>
      <c r="E7" s="46" t="s">
        <v>154</v>
      </c>
      <c r="N7" s="46" t="s">
        <v>68</v>
      </c>
      <c r="O7" s="46" t="s">
        <v>136</v>
      </c>
      <c r="P7" s="46" t="s">
        <v>156</v>
      </c>
      <c r="R7" s="47" t="s">
        <v>14</v>
      </c>
    </row>
    <row r="8" spans="1:18" s="34" customFormat="1">
      <c r="A8" s="34" t="s">
        <v>14</v>
      </c>
      <c r="B8" s="34" t="s">
        <v>31</v>
      </c>
      <c r="C8" s="34">
        <v>2</v>
      </c>
      <c r="D8" s="34" t="s">
        <v>150</v>
      </c>
      <c r="E8" s="34" t="s">
        <v>154</v>
      </c>
      <c r="N8" s="34" t="s">
        <v>47</v>
      </c>
      <c r="O8" s="34" t="s">
        <v>136</v>
      </c>
      <c r="R8" s="35" t="s">
        <v>14</v>
      </c>
    </row>
    <row r="9" spans="1:18" s="34" customFormat="1">
      <c r="A9" s="34" t="s">
        <v>14</v>
      </c>
      <c r="B9" s="34" t="s">
        <v>31</v>
      </c>
      <c r="C9" s="34">
        <v>2</v>
      </c>
      <c r="D9" s="34" t="s">
        <v>151</v>
      </c>
      <c r="E9" s="34" t="s">
        <v>155</v>
      </c>
      <c r="N9" s="34" t="s">
        <v>47</v>
      </c>
      <c r="O9" s="34" t="s">
        <v>136</v>
      </c>
      <c r="R9" s="35" t="s">
        <v>14</v>
      </c>
    </row>
    <row r="10" spans="1:18" s="34" customFormat="1">
      <c r="A10" s="34" t="s">
        <v>14</v>
      </c>
      <c r="B10" s="34" t="s">
        <v>31</v>
      </c>
      <c r="C10" s="34">
        <v>2</v>
      </c>
      <c r="D10" s="34" t="s">
        <v>152</v>
      </c>
      <c r="E10" s="34" t="s">
        <v>153</v>
      </c>
      <c r="N10" s="34" t="s">
        <v>47</v>
      </c>
      <c r="O10" s="34" t="s">
        <v>136</v>
      </c>
      <c r="R10" s="35" t="s">
        <v>14</v>
      </c>
    </row>
    <row r="11" spans="1:18" s="56" customFormat="1">
      <c r="A11" s="56" t="s">
        <v>14</v>
      </c>
      <c r="B11" s="56" t="s">
        <v>30</v>
      </c>
      <c r="C11" s="56">
        <v>5</v>
      </c>
      <c r="D11" s="56" t="s">
        <v>158</v>
      </c>
      <c r="N11" s="56" t="s">
        <v>28</v>
      </c>
      <c r="R11" s="57"/>
    </row>
    <row r="12" spans="1:18" s="31" customFormat="1">
      <c r="A12" s="31" t="s">
        <v>14</v>
      </c>
      <c r="B12" s="31" t="s">
        <v>31</v>
      </c>
      <c r="C12" s="31">
        <v>5</v>
      </c>
      <c r="D12" s="31" t="s">
        <v>162</v>
      </c>
      <c r="E12" s="31" t="s">
        <v>159</v>
      </c>
      <c r="N12" s="31" t="s">
        <v>66</v>
      </c>
      <c r="R12" s="32" t="s">
        <v>14</v>
      </c>
    </row>
    <row r="13" spans="1:18">
      <c r="A13" s="21" t="s">
        <v>14</v>
      </c>
      <c r="B13" s="21" t="s">
        <v>31</v>
      </c>
      <c r="C13" s="21">
        <v>5</v>
      </c>
      <c r="D13" s="21" t="s">
        <v>163</v>
      </c>
      <c r="E13" s="21" t="s">
        <v>161</v>
      </c>
      <c r="F13" s="21"/>
      <c r="G13" s="21"/>
      <c r="H13" s="21"/>
      <c r="I13" s="21"/>
      <c r="J13" s="21"/>
      <c r="K13" s="21"/>
      <c r="L13" s="21"/>
      <c r="M13" s="21" t="s">
        <v>108</v>
      </c>
      <c r="N13" s="21" t="s">
        <v>66</v>
      </c>
      <c r="O13" s="21"/>
      <c r="P13" s="21"/>
      <c r="Q13" s="21"/>
      <c r="R13" s="20" t="s">
        <v>14</v>
      </c>
    </row>
    <row r="14" spans="1:18">
      <c r="A14" s="21" t="s">
        <v>14</v>
      </c>
      <c r="B14" s="21" t="s">
        <v>31</v>
      </c>
      <c r="C14" s="21">
        <v>5</v>
      </c>
      <c r="D14" s="21" t="s">
        <v>164</v>
      </c>
      <c r="E14" s="21" t="s">
        <v>161</v>
      </c>
      <c r="F14" s="21" t="s">
        <v>160</v>
      </c>
      <c r="G14" s="21"/>
      <c r="H14" s="21"/>
      <c r="I14" s="21"/>
      <c r="J14" s="21"/>
      <c r="K14" s="21"/>
      <c r="L14" s="21"/>
      <c r="M14" s="21" t="s">
        <v>74</v>
      </c>
      <c r="N14" s="21" t="s">
        <v>63</v>
      </c>
      <c r="O14" s="21"/>
      <c r="P14" s="21"/>
      <c r="Q14" s="21"/>
      <c r="R14" s="20" t="s">
        <v>14</v>
      </c>
    </row>
    <row r="15" spans="1:18" s="34" customFormat="1">
      <c r="A15" s="34" t="s">
        <v>14</v>
      </c>
      <c r="B15" s="34" t="s">
        <v>31</v>
      </c>
      <c r="C15" s="34">
        <v>5</v>
      </c>
      <c r="D15" s="21" t="s">
        <v>165</v>
      </c>
      <c r="E15" s="34" t="s">
        <v>161</v>
      </c>
      <c r="N15" s="34" t="s">
        <v>73</v>
      </c>
      <c r="R15" s="35" t="s">
        <v>14</v>
      </c>
    </row>
    <row r="16" spans="1:18" s="58" customFormat="1">
      <c r="A16" s="58" t="s">
        <v>14</v>
      </c>
      <c r="B16" s="58" t="s">
        <v>31</v>
      </c>
      <c r="C16" s="58">
        <v>5</v>
      </c>
      <c r="D16" s="58" t="s">
        <v>166</v>
      </c>
      <c r="E16" s="58" t="s">
        <v>170</v>
      </c>
      <c r="N16" s="58" t="s">
        <v>66</v>
      </c>
      <c r="R16" s="59" t="s">
        <v>14</v>
      </c>
    </row>
    <row r="17" spans="1:18">
      <c r="A17" s="21" t="s">
        <v>14</v>
      </c>
      <c r="B17" s="21" t="s">
        <v>31</v>
      </c>
      <c r="C17" s="21">
        <v>5</v>
      </c>
      <c r="D17" s="21" t="s">
        <v>167</v>
      </c>
      <c r="E17" s="21" t="s">
        <v>171</v>
      </c>
      <c r="F17" s="21"/>
      <c r="G17" s="21"/>
      <c r="H17" s="21"/>
      <c r="I17" s="21"/>
      <c r="J17" s="21"/>
      <c r="K17" s="21"/>
      <c r="L17" s="21"/>
      <c r="M17" s="21" t="s">
        <v>108</v>
      </c>
      <c r="N17" s="21" t="s">
        <v>66</v>
      </c>
      <c r="O17" s="21"/>
      <c r="P17" s="21"/>
      <c r="Q17" s="21"/>
      <c r="R17" s="20" t="s">
        <v>14</v>
      </c>
    </row>
    <row r="18" spans="1:18">
      <c r="A18" s="21" t="s">
        <v>14</v>
      </c>
      <c r="B18" s="21" t="s">
        <v>31</v>
      </c>
      <c r="C18" s="21">
        <v>5</v>
      </c>
      <c r="D18" s="21" t="s">
        <v>168</v>
      </c>
      <c r="E18" s="21" t="s">
        <v>171</v>
      </c>
      <c r="F18" s="21" t="s">
        <v>172</v>
      </c>
      <c r="G18" s="21"/>
      <c r="H18" s="21"/>
      <c r="I18" s="21"/>
      <c r="J18" s="21"/>
      <c r="K18" s="21"/>
      <c r="L18" s="21"/>
      <c r="M18" s="21" t="s">
        <v>74</v>
      </c>
      <c r="N18" s="21" t="s">
        <v>63</v>
      </c>
      <c r="O18" s="21"/>
      <c r="P18" s="21"/>
      <c r="Q18" s="21"/>
      <c r="R18" s="20" t="s">
        <v>14</v>
      </c>
    </row>
    <row r="19" spans="1:18" s="34" customFormat="1">
      <c r="A19" s="34" t="s">
        <v>14</v>
      </c>
      <c r="B19" s="34" t="s">
        <v>31</v>
      </c>
      <c r="C19" s="34">
        <v>5</v>
      </c>
      <c r="D19" s="21" t="s">
        <v>169</v>
      </c>
      <c r="E19" s="34" t="s">
        <v>171</v>
      </c>
      <c r="N19" s="34" t="s">
        <v>73</v>
      </c>
      <c r="R19" s="35" t="s">
        <v>14</v>
      </c>
    </row>
    <row r="20" spans="1:18" s="31" customFormat="1">
      <c r="A20" s="31" t="s">
        <v>14</v>
      </c>
      <c r="B20" s="31" t="s">
        <v>31</v>
      </c>
      <c r="C20" s="31">
        <v>5</v>
      </c>
      <c r="D20" s="31" t="s">
        <v>173</v>
      </c>
      <c r="E20" s="31" t="s">
        <v>181</v>
      </c>
      <c r="N20" s="31" t="s">
        <v>66</v>
      </c>
      <c r="R20" s="32" t="s">
        <v>14</v>
      </c>
    </row>
    <row r="21" spans="1:18">
      <c r="A21" s="21" t="s">
        <v>14</v>
      </c>
      <c r="B21" s="21" t="s">
        <v>31</v>
      </c>
      <c r="C21" s="21">
        <v>5</v>
      </c>
      <c r="D21" s="21" t="s">
        <v>174</v>
      </c>
      <c r="E21" s="21" t="s">
        <v>182</v>
      </c>
      <c r="F21" s="21"/>
      <c r="G21" s="21"/>
      <c r="H21" s="21"/>
      <c r="I21" s="21"/>
      <c r="J21" s="21"/>
      <c r="K21" s="21"/>
      <c r="L21" s="21"/>
      <c r="M21" s="21" t="s">
        <v>108</v>
      </c>
      <c r="N21" s="21" t="s">
        <v>66</v>
      </c>
      <c r="O21" s="21"/>
      <c r="P21" s="21"/>
      <c r="Q21" s="21"/>
      <c r="R21" s="20" t="s">
        <v>14</v>
      </c>
    </row>
    <row r="22" spans="1:18">
      <c r="A22" s="21" t="s">
        <v>14</v>
      </c>
      <c r="B22" s="21" t="s">
        <v>31</v>
      </c>
      <c r="C22" s="21">
        <v>5</v>
      </c>
      <c r="D22" s="21" t="s">
        <v>175</v>
      </c>
      <c r="E22" s="21" t="s">
        <v>182</v>
      </c>
      <c r="F22" s="21" t="s">
        <v>183</v>
      </c>
      <c r="G22" s="21"/>
      <c r="H22" s="21"/>
      <c r="I22" s="21"/>
      <c r="J22" s="21"/>
      <c r="K22" s="21"/>
      <c r="L22" s="21"/>
      <c r="M22" s="21" t="s">
        <v>74</v>
      </c>
      <c r="N22" s="21" t="s">
        <v>63</v>
      </c>
      <c r="O22" s="21"/>
      <c r="P22" s="21"/>
      <c r="Q22" s="21"/>
      <c r="R22" s="20" t="s">
        <v>14</v>
      </c>
    </row>
    <row r="23" spans="1:18" s="34" customFormat="1">
      <c r="A23" s="34" t="s">
        <v>14</v>
      </c>
      <c r="B23" s="34" t="s">
        <v>31</v>
      </c>
      <c r="C23" s="34">
        <v>5</v>
      </c>
      <c r="D23" s="21" t="s">
        <v>176</v>
      </c>
      <c r="E23" s="34" t="s">
        <v>182</v>
      </c>
      <c r="N23" s="34" t="s">
        <v>73</v>
      </c>
      <c r="R23" s="35" t="s">
        <v>14</v>
      </c>
    </row>
    <row r="24" spans="1:18" s="58" customFormat="1">
      <c r="A24" s="58" t="s">
        <v>14</v>
      </c>
      <c r="B24" s="58" t="s">
        <v>31</v>
      </c>
      <c r="C24" s="58">
        <v>5</v>
      </c>
      <c r="D24" s="58" t="s">
        <v>177</v>
      </c>
      <c r="E24" s="58" t="s">
        <v>184</v>
      </c>
      <c r="N24" s="58" t="s">
        <v>66</v>
      </c>
      <c r="R24" s="59" t="s">
        <v>14</v>
      </c>
    </row>
    <row r="25" spans="1:18">
      <c r="A25" s="21" t="s">
        <v>14</v>
      </c>
      <c r="B25" s="21" t="s">
        <v>31</v>
      </c>
      <c r="C25" s="21">
        <v>5</v>
      </c>
      <c r="D25" s="21" t="s">
        <v>178</v>
      </c>
      <c r="E25" s="21" t="s">
        <v>185</v>
      </c>
      <c r="F25" s="21"/>
      <c r="G25" s="21"/>
      <c r="H25" s="21"/>
      <c r="I25" s="21"/>
      <c r="J25" s="21"/>
      <c r="K25" s="21"/>
      <c r="L25" s="21"/>
      <c r="M25" s="21" t="s">
        <v>108</v>
      </c>
      <c r="N25" s="21" t="s">
        <v>66</v>
      </c>
      <c r="O25" s="21"/>
      <c r="P25" s="21"/>
      <c r="Q25" s="21"/>
      <c r="R25" s="20" t="s">
        <v>14</v>
      </c>
    </row>
    <row r="26" spans="1:18">
      <c r="A26" s="21" t="s">
        <v>14</v>
      </c>
      <c r="B26" s="21" t="s">
        <v>31</v>
      </c>
      <c r="C26" s="21">
        <v>5</v>
      </c>
      <c r="D26" s="21" t="s">
        <v>179</v>
      </c>
      <c r="E26" s="21" t="s">
        <v>185</v>
      </c>
      <c r="F26" s="21" t="s">
        <v>186</v>
      </c>
      <c r="G26" s="21"/>
      <c r="H26" s="21"/>
      <c r="I26" s="21"/>
      <c r="J26" s="21"/>
      <c r="K26" s="21"/>
      <c r="L26" s="21"/>
      <c r="M26" s="21" t="s">
        <v>74</v>
      </c>
      <c r="N26" s="21" t="s">
        <v>63</v>
      </c>
      <c r="O26" s="21"/>
      <c r="P26" s="21"/>
      <c r="Q26" s="21"/>
      <c r="R26" s="20" t="s">
        <v>14</v>
      </c>
    </row>
    <row r="27" spans="1:18" s="34" customFormat="1">
      <c r="A27" s="34" t="s">
        <v>14</v>
      </c>
      <c r="B27" s="34" t="s">
        <v>31</v>
      </c>
      <c r="C27" s="34">
        <v>5</v>
      </c>
      <c r="D27" s="21" t="s">
        <v>180</v>
      </c>
      <c r="E27" s="34" t="s">
        <v>185</v>
      </c>
      <c r="N27" s="34" t="s">
        <v>73</v>
      </c>
      <c r="R27" s="35" t="s">
        <v>14</v>
      </c>
    </row>
    <row r="28" spans="1:18" s="31" customFormat="1">
      <c r="A28" s="31" t="s">
        <v>14</v>
      </c>
      <c r="B28" s="31" t="s">
        <v>31</v>
      </c>
      <c r="C28" s="31">
        <v>5</v>
      </c>
      <c r="D28" s="31" t="s">
        <v>69</v>
      </c>
      <c r="E28" s="31" t="s">
        <v>187</v>
      </c>
      <c r="N28" s="31" t="s">
        <v>66</v>
      </c>
      <c r="R28" s="32" t="s">
        <v>14</v>
      </c>
    </row>
    <row r="29" spans="1:18">
      <c r="A29" s="21" t="s">
        <v>14</v>
      </c>
      <c r="B29" s="21" t="s">
        <v>31</v>
      </c>
      <c r="C29" s="21">
        <v>5</v>
      </c>
      <c r="D29" s="21" t="s">
        <v>70</v>
      </c>
      <c r="E29" s="21" t="s">
        <v>188</v>
      </c>
      <c r="F29" s="21"/>
      <c r="G29" s="21"/>
      <c r="H29" s="21"/>
      <c r="I29" s="21"/>
      <c r="J29" s="21"/>
      <c r="K29" s="21"/>
      <c r="L29" s="21"/>
      <c r="M29" s="21" t="s">
        <v>108</v>
      </c>
      <c r="N29" s="21" t="s">
        <v>66</v>
      </c>
      <c r="O29" s="21"/>
      <c r="P29" s="21"/>
      <c r="Q29" s="21"/>
      <c r="R29" s="20" t="s">
        <v>14</v>
      </c>
    </row>
    <row r="30" spans="1:18">
      <c r="A30" s="21" t="s">
        <v>14</v>
      </c>
      <c r="B30" s="21" t="s">
        <v>31</v>
      </c>
      <c r="C30" s="21">
        <v>5</v>
      </c>
      <c r="D30" s="21" t="s">
        <v>71</v>
      </c>
      <c r="E30" s="21" t="s">
        <v>188</v>
      </c>
      <c r="F30" s="21" t="s">
        <v>189</v>
      </c>
      <c r="G30" s="21"/>
      <c r="H30" s="21"/>
      <c r="I30" s="21"/>
      <c r="J30" s="21"/>
      <c r="K30" s="21"/>
      <c r="L30" s="21"/>
      <c r="M30" s="21" t="s">
        <v>74</v>
      </c>
      <c r="N30" s="21" t="s">
        <v>63</v>
      </c>
      <c r="O30" s="21"/>
      <c r="P30" s="21"/>
      <c r="Q30" s="21"/>
      <c r="R30" s="20" t="s">
        <v>14</v>
      </c>
    </row>
    <row r="31" spans="1:18" s="34" customFormat="1">
      <c r="A31" s="34" t="s">
        <v>14</v>
      </c>
      <c r="B31" s="34" t="s">
        <v>31</v>
      </c>
      <c r="C31" s="34">
        <v>5</v>
      </c>
      <c r="D31" s="21" t="s">
        <v>72</v>
      </c>
      <c r="E31" s="34" t="s">
        <v>188</v>
      </c>
      <c r="N31" s="34" t="s">
        <v>73</v>
      </c>
      <c r="R31" s="35" t="s">
        <v>14</v>
      </c>
    </row>
    <row r="32" spans="1:18" s="58" customFormat="1">
      <c r="A32" s="58" t="s">
        <v>14</v>
      </c>
      <c r="B32" s="58" t="s">
        <v>31</v>
      </c>
      <c r="C32" s="58">
        <v>5</v>
      </c>
      <c r="D32" s="58" t="s">
        <v>75</v>
      </c>
      <c r="E32" s="58" t="s">
        <v>190</v>
      </c>
      <c r="N32" s="58" t="s">
        <v>66</v>
      </c>
      <c r="R32" s="59" t="s">
        <v>14</v>
      </c>
    </row>
    <row r="33" spans="1:18">
      <c r="A33" s="21" t="s">
        <v>14</v>
      </c>
      <c r="B33" s="21" t="s">
        <v>31</v>
      </c>
      <c r="C33" s="21">
        <v>5</v>
      </c>
      <c r="D33" s="21" t="s">
        <v>76</v>
      </c>
      <c r="E33" s="21" t="s">
        <v>191</v>
      </c>
      <c r="F33" s="21"/>
      <c r="G33" s="21"/>
      <c r="H33" s="21"/>
      <c r="I33" s="21"/>
      <c r="J33" s="21"/>
      <c r="K33" s="21"/>
      <c r="L33" s="21"/>
      <c r="M33" s="21" t="s">
        <v>108</v>
      </c>
      <c r="N33" s="21" t="s">
        <v>66</v>
      </c>
      <c r="O33" s="21"/>
      <c r="P33" s="21"/>
      <c r="Q33" s="21"/>
      <c r="R33" s="20" t="s">
        <v>14</v>
      </c>
    </row>
    <row r="34" spans="1:18">
      <c r="A34" s="21" t="s">
        <v>14</v>
      </c>
      <c r="B34" s="21" t="s">
        <v>31</v>
      </c>
      <c r="C34" s="21">
        <v>5</v>
      </c>
      <c r="D34" s="21" t="s">
        <v>77</v>
      </c>
      <c r="E34" s="21" t="s">
        <v>191</v>
      </c>
      <c r="F34" s="21" t="s">
        <v>192</v>
      </c>
      <c r="G34" s="21"/>
      <c r="H34" s="21"/>
      <c r="I34" s="21"/>
      <c r="J34" s="21"/>
      <c r="K34" s="21"/>
      <c r="L34" s="21"/>
      <c r="M34" s="21" t="s">
        <v>74</v>
      </c>
      <c r="N34" s="21" t="s">
        <v>63</v>
      </c>
      <c r="O34" s="21"/>
      <c r="P34" s="21"/>
      <c r="Q34" s="21"/>
      <c r="R34" s="20" t="s">
        <v>14</v>
      </c>
    </row>
    <row r="35" spans="1:18" s="34" customFormat="1">
      <c r="A35" s="34" t="s">
        <v>14</v>
      </c>
      <c r="B35" s="34" t="s">
        <v>31</v>
      </c>
      <c r="C35" s="34">
        <v>5</v>
      </c>
      <c r="D35" s="21" t="s">
        <v>78</v>
      </c>
      <c r="E35" s="34" t="s">
        <v>191</v>
      </c>
      <c r="N35" s="34" t="s">
        <v>73</v>
      </c>
      <c r="R35" s="35" t="s">
        <v>14</v>
      </c>
    </row>
    <row r="36" spans="1:18" s="31" customFormat="1">
      <c r="A36" s="31" t="s">
        <v>14</v>
      </c>
      <c r="B36" s="31" t="s">
        <v>31</v>
      </c>
      <c r="C36" s="31">
        <v>5</v>
      </c>
      <c r="D36" s="31" t="s">
        <v>193</v>
      </c>
      <c r="E36" s="31" t="s">
        <v>201</v>
      </c>
      <c r="N36" s="31" t="s">
        <v>66</v>
      </c>
      <c r="R36" s="32" t="s">
        <v>14</v>
      </c>
    </row>
    <row r="37" spans="1:18">
      <c r="A37" s="21" t="s">
        <v>14</v>
      </c>
      <c r="B37" s="21" t="s">
        <v>31</v>
      </c>
      <c r="C37" s="21">
        <v>5</v>
      </c>
      <c r="D37" s="21" t="s">
        <v>194</v>
      </c>
      <c r="E37" s="21" t="s">
        <v>202</v>
      </c>
      <c r="F37" s="21"/>
      <c r="G37" s="21"/>
      <c r="H37" s="21"/>
      <c r="I37" s="21"/>
      <c r="J37" s="21"/>
      <c r="K37" s="21"/>
      <c r="L37" s="21"/>
      <c r="M37" s="21" t="s">
        <v>108</v>
      </c>
      <c r="N37" s="21" t="s">
        <v>66</v>
      </c>
      <c r="O37" s="21"/>
      <c r="P37" s="21"/>
      <c r="Q37" s="21"/>
      <c r="R37" s="20" t="s">
        <v>14</v>
      </c>
    </row>
    <row r="38" spans="1:18">
      <c r="A38" s="21" t="s">
        <v>14</v>
      </c>
      <c r="B38" s="21" t="s">
        <v>31</v>
      </c>
      <c r="C38" s="21">
        <v>5</v>
      </c>
      <c r="D38" s="21" t="s">
        <v>195</v>
      </c>
      <c r="E38" s="21" t="s">
        <v>202</v>
      </c>
      <c r="F38" s="21" t="s">
        <v>203</v>
      </c>
      <c r="G38" s="21"/>
      <c r="H38" s="21"/>
      <c r="I38" s="21"/>
      <c r="J38" s="21"/>
      <c r="K38" s="21"/>
      <c r="L38" s="21"/>
      <c r="M38" s="21" t="s">
        <v>74</v>
      </c>
      <c r="N38" s="21" t="s">
        <v>63</v>
      </c>
      <c r="O38" s="21"/>
      <c r="P38" s="21"/>
      <c r="Q38" s="21"/>
      <c r="R38" s="20" t="s">
        <v>14</v>
      </c>
    </row>
    <row r="39" spans="1:18" s="34" customFormat="1">
      <c r="A39" s="34" t="s">
        <v>14</v>
      </c>
      <c r="B39" s="34" t="s">
        <v>31</v>
      </c>
      <c r="C39" s="34">
        <v>5</v>
      </c>
      <c r="D39" s="21" t="s">
        <v>196</v>
      </c>
      <c r="E39" s="34" t="s">
        <v>202</v>
      </c>
      <c r="N39" s="34" t="s">
        <v>73</v>
      </c>
      <c r="R39" s="35" t="s">
        <v>14</v>
      </c>
    </row>
    <row r="40" spans="1:18" s="58" customFormat="1">
      <c r="A40" s="58" t="s">
        <v>14</v>
      </c>
      <c r="B40" s="58" t="s">
        <v>31</v>
      </c>
      <c r="C40" s="58">
        <v>5</v>
      </c>
      <c r="D40" s="58" t="s">
        <v>197</v>
      </c>
      <c r="E40" s="58" t="s">
        <v>384</v>
      </c>
      <c r="N40" s="58" t="s">
        <v>66</v>
      </c>
      <c r="R40" s="59" t="s">
        <v>14</v>
      </c>
    </row>
    <row r="41" spans="1:18">
      <c r="A41" s="21" t="s">
        <v>14</v>
      </c>
      <c r="B41" s="21" t="s">
        <v>31</v>
      </c>
      <c r="C41" s="21">
        <v>5</v>
      </c>
      <c r="D41" s="21" t="s">
        <v>198</v>
      </c>
      <c r="E41" s="21" t="s">
        <v>385</v>
      </c>
      <c r="F41" s="21"/>
      <c r="G41" s="21"/>
      <c r="H41" s="21"/>
      <c r="I41" s="21"/>
      <c r="J41" s="21"/>
      <c r="K41" s="21"/>
      <c r="L41" s="21"/>
      <c r="M41" s="21" t="s">
        <v>108</v>
      </c>
      <c r="N41" s="21" t="s">
        <v>66</v>
      </c>
      <c r="O41" s="21"/>
      <c r="P41" s="21"/>
      <c r="Q41" s="21"/>
      <c r="R41" s="20" t="s">
        <v>14</v>
      </c>
    </row>
    <row r="42" spans="1:18">
      <c r="A42" s="21" t="s">
        <v>14</v>
      </c>
      <c r="B42" s="21" t="s">
        <v>31</v>
      </c>
      <c r="C42" s="21">
        <v>5</v>
      </c>
      <c r="D42" s="21" t="s">
        <v>199</v>
      </c>
      <c r="E42" s="21" t="s">
        <v>385</v>
      </c>
      <c r="F42" s="21" t="s">
        <v>386</v>
      </c>
      <c r="G42" s="21"/>
      <c r="H42" s="21"/>
      <c r="I42" s="21"/>
      <c r="J42" s="21"/>
      <c r="K42" s="21"/>
      <c r="L42" s="21"/>
      <c r="M42" s="21" t="s">
        <v>74</v>
      </c>
      <c r="N42" s="21" t="s">
        <v>63</v>
      </c>
      <c r="O42" s="21"/>
      <c r="P42" s="21"/>
      <c r="Q42" s="21"/>
      <c r="R42" s="20" t="s">
        <v>14</v>
      </c>
    </row>
    <row r="43" spans="1:18" s="34" customFormat="1">
      <c r="A43" s="34" t="s">
        <v>14</v>
      </c>
      <c r="B43" s="34" t="s">
        <v>31</v>
      </c>
      <c r="C43" s="34">
        <v>5</v>
      </c>
      <c r="D43" s="21" t="s">
        <v>200</v>
      </c>
      <c r="E43" s="34" t="s">
        <v>385</v>
      </c>
      <c r="N43" s="34" t="s">
        <v>73</v>
      </c>
      <c r="R43" s="35" t="s">
        <v>14</v>
      </c>
    </row>
    <row r="44" spans="1:18" s="56" customFormat="1">
      <c r="A44" s="56" t="s">
        <v>14</v>
      </c>
      <c r="B44" s="56" t="s">
        <v>31</v>
      </c>
      <c r="C44" s="56">
        <v>6</v>
      </c>
      <c r="D44" s="56" t="s">
        <v>204</v>
      </c>
      <c r="E44" s="56" t="s">
        <v>207</v>
      </c>
      <c r="M44" s="56" t="s">
        <v>108</v>
      </c>
      <c r="N44" s="56" t="s">
        <v>66</v>
      </c>
      <c r="R44" s="57" t="s">
        <v>14</v>
      </c>
    </row>
    <row r="45" spans="1:18">
      <c r="A45" s="21" t="s">
        <v>14</v>
      </c>
      <c r="B45" s="21" t="s">
        <v>31</v>
      </c>
      <c r="C45" s="21">
        <v>6</v>
      </c>
      <c r="D45" s="21" t="s">
        <v>205</v>
      </c>
      <c r="E45" s="21" t="s">
        <v>207</v>
      </c>
      <c r="F45" s="21" t="s">
        <v>285</v>
      </c>
      <c r="G45" s="21"/>
      <c r="H45" s="21"/>
      <c r="I45" s="21"/>
      <c r="J45" s="21"/>
      <c r="K45" s="21"/>
      <c r="L45" s="21"/>
      <c r="M45" s="21" t="s">
        <v>74</v>
      </c>
      <c r="N45" s="21" t="s">
        <v>63</v>
      </c>
      <c r="O45" s="21"/>
      <c r="P45" s="21"/>
      <c r="Q45" s="21"/>
      <c r="R45" s="20" t="s">
        <v>14</v>
      </c>
    </row>
    <row r="46" spans="1:18" s="34" customFormat="1">
      <c r="A46" s="34" t="s">
        <v>14</v>
      </c>
      <c r="B46" s="34" t="s">
        <v>31</v>
      </c>
      <c r="C46" s="34">
        <v>6</v>
      </c>
      <c r="D46" s="21" t="s">
        <v>206</v>
      </c>
      <c r="E46" s="34" t="s">
        <v>207</v>
      </c>
      <c r="N46" s="34" t="s">
        <v>73</v>
      </c>
      <c r="R46" s="35" t="s">
        <v>14</v>
      </c>
    </row>
    <row r="47" spans="1:18" s="46" customFormat="1">
      <c r="A47" s="46" t="s">
        <v>14</v>
      </c>
      <c r="B47" s="46" t="s">
        <v>31</v>
      </c>
      <c r="C47" s="46">
        <v>6</v>
      </c>
      <c r="D47" s="46" t="s">
        <v>226</v>
      </c>
      <c r="E47" s="46" t="s">
        <v>209</v>
      </c>
      <c r="M47" s="46" t="s">
        <v>108</v>
      </c>
      <c r="N47" s="46" t="s">
        <v>66</v>
      </c>
      <c r="R47" s="47" t="s">
        <v>14</v>
      </c>
    </row>
    <row r="48" spans="1:18">
      <c r="A48" s="21" t="s">
        <v>14</v>
      </c>
      <c r="B48" s="21" t="s">
        <v>31</v>
      </c>
      <c r="C48" s="21">
        <v>6</v>
      </c>
      <c r="D48" s="21" t="s">
        <v>227</v>
      </c>
      <c r="E48" s="21" t="s">
        <v>209</v>
      </c>
      <c r="F48" s="21" t="s">
        <v>210</v>
      </c>
      <c r="G48" s="21"/>
      <c r="H48" s="21"/>
      <c r="I48" s="21"/>
      <c r="J48" s="21"/>
      <c r="K48" s="21"/>
      <c r="L48" s="21"/>
      <c r="M48" s="21" t="s">
        <v>74</v>
      </c>
      <c r="N48" s="21" t="s">
        <v>63</v>
      </c>
      <c r="O48" s="21"/>
      <c r="P48" s="21"/>
      <c r="Q48" s="21"/>
      <c r="R48" s="20" t="s">
        <v>14</v>
      </c>
    </row>
    <row r="49" spans="1:18" s="34" customFormat="1">
      <c r="A49" s="34" t="s">
        <v>14</v>
      </c>
      <c r="B49" s="34" t="s">
        <v>31</v>
      </c>
      <c r="C49" s="34">
        <v>6</v>
      </c>
      <c r="D49" s="21" t="s">
        <v>228</v>
      </c>
      <c r="E49" s="34" t="s">
        <v>209</v>
      </c>
      <c r="N49" s="34" t="s">
        <v>73</v>
      </c>
      <c r="R49" s="35" t="s">
        <v>14</v>
      </c>
    </row>
    <row r="50" spans="1:18" s="46" customFormat="1">
      <c r="A50" s="46" t="s">
        <v>14</v>
      </c>
      <c r="B50" s="46" t="s">
        <v>31</v>
      </c>
      <c r="C50" s="46">
        <v>6</v>
      </c>
      <c r="D50" s="46" t="s">
        <v>229</v>
      </c>
      <c r="E50" s="46" t="s">
        <v>211</v>
      </c>
      <c r="M50" s="46" t="s">
        <v>108</v>
      </c>
      <c r="N50" s="46" t="s">
        <v>66</v>
      </c>
      <c r="R50" s="47" t="s">
        <v>14</v>
      </c>
    </row>
    <row r="51" spans="1:18">
      <c r="A51" s="21" t="s">
        <v>14</v>
      </c>
      <c r="B51" s="21" t="s">
        <v>31</v>
      </c>
      <c r="C51" s="21">
        <v>6</v>
      </c>
      <c r="D51" s="21" t="s">
        <v>230</v>
      </c>
      <c r="E51" s="21" t="s">
        <v>211</v>
      </c>
      <c r="F51" s="21" t="s">
        <v>218</v>
      </c>
      <c r="G51" s="21"/>
      <c r="H51" s="21"/>
      <c r="I51" s="21"/>
      <c r="J51" s="21"/>
      <c r="K51" s="21"/>
      <c r="L51" s="21"/>
      <c r="M51" s="21" t="s">
        <v>74</v>
      </c>
      <c r="N51" s="21" t="s">
        <v>63</v>
      </c>
      <c r="O51" s="21"/>
      <c r="P51" s="21"/>
      <c r="Q51" s="21"/>
      <c r="R51" s="20" t="s">
        <v>14</v>
      </c>
    </row>
    <row r="52" spans="1:18" s="34" customFormat="1">
      <c r="A52" s="34" t="s">
        <v>14</v>
      </c>
      <c r="B52" s="34" t="s">
        <v>31</v>
      </c>
      <c r="C52" s="34">
        <v>6</v>
      </c>
      <c r="D52" s="21" t="s">
        <v>231</v>
      </c>
      <c r="E52" s="34" t="s">
        <v>211</v>
      </c>
      <c r="N52" s="34" t="s">
        <v>73</v>
      </c>
      <c r="R52" s="35" t="s">
        <v>14</v>
      </c>
    </row>
    <row r="53" spans="1:18" s="46" customFormat="1">
      <c r="A53" s="46" t="s">
        <v>14</v>
      </c>
      <c r="B53" s="46" t="s">
        <v>31</v>
      </c>
      <c r="C53" s="46">
        <v>6</v>
      </c>
      <c r="D53" s="46" t="s">
        <v>232</v>
      </c>
      <c r="E53" s="46" t="s">
        <v>212</v>
      </c>
      <c r="M53" s="46" t="s">
        <v>108</v>
      </c>
      <c r="N53" s="46" t="s">
        <v>66</v>
      </c>
      <c r="R53" s="47" t="s">
        <v>14</v>
      </c>
    </row>
    <row r="54" spans="1:18">
      <c r="A54" s="21" t="s">
        <v>14</v>
      </c>
      <c r="B54" s="21" t="s">
        <v>31</v>
      </c>
      <c r="C54" s="21">
        <v>6</v>
      </c>
      <c r="D54" s="21" t="s">
        <v>233</v>
      </c>
      <c r="E54" s="21" t="s">
        <v>212</v>
      </c>
      <c r="F54" s="21" t="s">
        <v>220</v>
      </c>
      <c r="G54" s="21"/>
      <c r="H54" s="21"/>
      <c r="I54" s="21"/>
      <c r="J54" s="21"/>
      <c r="K54" s="21"/>
      <c r="L54" s="21"/>
      <c r="M54" s="21" t="s">
        <v>74</v>
      </c>
      <c r="N54" s="21" t="s">
        <v>63</v>
      </c>
      <c r="O54" s="21"/>
      <c r="P54" s="21"/>
      <c r="Q54" s="21"/>
      <c r="R54" s="20" t="s">
        <v>14</v>
      </c>
    </row>
    <row r="55" spans="1:18" s="34" customFormat="1">
      <c r="A55" s="34" t="s">
        <v>14</v>
      </c>
      <c r="B55" s="34" t="s">
        <v>31</v>
      </c>
      <c r="C55" s="34">
        <v>6</v>
      </c>
      <c r="D55" s="21" t="s">
        <v>234</v>
      </c>
      <c r="E55" s="34" t="s">
        <v>212</v>
      </c>
      <c r="N55" s="34" t="s">
        <v>73</v>
      </c>
      <c r="R55" s="35" t="s">
        <v>14</v>
      </c>
    </row>
    <row r="56" spans="1:18" s="46" customFormat="1">
      <c r="A56" s="46" t="s">
        <v>14</v>
      </c>
      <c r="B56" s="46" t="s">
        <v>31</v>
      </c>
      <c r="C56" s="46">
        <v>6</v>
      </c>
      <c r="D56" s="46" t="s">
        <v>235</v>
      </c>
      <c r="E56" s="46" t="s">
        <v>213</v>
      </c>
      <c r="M56" s="46" t="s">
        <v>108</v>
      </c>
      <c r="N56" s="46" t="s">
        <v>66</v>
      </c>
      <c r="R56" s="47" t="s">
        <v>14</v>
      </c>
    </row>
    <row r="57" spans="1:18">
      <c r="A57" s="21" t="s">
        <v>14</v>
      </c>
      <c r="B57" s="21" t="s">
        <v>31</v>
      </c>
      <c r="C57" s="21">
        <v>6</v>
      </c>
      <c r="D57" s="21" t="s">
        <v>236</v>
      </c>
      <c r="E57" s="21" t="s">
        <v>213</v>
      </c>
      <c r="F57" s="21" t="s">
        <v>221</v>
      </c>
      <c r="G57" s="21"/>
      <c r="H57" s="21"/>
      <c r="I57" s="21"/>
      <c r="J57" s="21"/>
      <c r="K57" s="21"/>
      <c r="L57" s="21"/>
      <c r="M57" s="21" t="s">
        <v>74</v>
      </c>
      <c r="N57" s="21" t="s">
        <v>63</v>
      </c>
      <c r="O57" s="21"/>
      <c r="P57" s="21"/>
      <c r="Q57" s="21"/>
      <c r="R57" s="20" t="s">
        <v>14</v>
      </c>
    </row>
    <row r="58" spans="1:18" s="34" customFormat="1">
      <c r="A58" s="34" t="s">
        <v>14</v>
      </c>
      <c r="B58" s="34" t="s">
        <v>31</v>
      </c>
      <c r="C58" s="34">
        <v>6</v>
      </c>
      <c r="D58" s="21" t="s">
        <v>237</v>
      </c>
      <c r="E58" s="34" t="s">
        <v>213</v>
      </c>
      <c r="N58" s="34" t="s">
        <v>73</v>
      </c>
      <c r="R58" s="35" t="s">
        <v>14</v>
      </c>
    </row>
    <row r="59" spans="1:18" s="46" customFormat="1">
      <c r="A59" s="46" t="s">
        <v>14</v>
      </c>
      <c r="B59" s="46" t="s">
        <v>31</v>
      </c>
      <c r="C59" s="46">
        <v>6</v>
      </c>
      <c r="D59" s="46" t="s">
        <v>238</v>
      </c>
      <c r="E59" s="46" t="s">
        <v>214</v>
      </c>
      <c r="M59" s="46" t="s">
        <v>108</v>
      </c>
      <c r="N59" s="46" t="s">
        <v>66</v>
      </c>
      <c r="R59" s="47" t="s">
        <v>14</v>
      </c>
    </row>
    <row r="60" spans="1:18">
      <c r="A60" s="21" t="s">
        <v>14</v>
      </c>
      <c r="B60" s="21" t="s">
        <v>31</v>
      </c>
      <c r="C60" s="21">
        <v>6</v>
      </c>
      <c r="D60" s="21" t="s">
        <v>239</v>
      </c>
      <c r="E60" s="21" t="s">
        <v>214</v>
      </c>
      <c r="F60" s="21" t="s">
        <v>222</v>
      </c>
      <c r="G60" s="21"/>
      <c r="H60" s="21"/>
      <c r="I60" s="21"/>
      <c r="J60" s="21"/>
      <c r="K60" s="21"/>
      <c r="L60" s="21"/>
      <c r="M60" s="21" t="s">
        <v>74</v>
      </c>
      <c r="N60" s="21" t="s">
        <v>63</v>
      </c>
      <c r="O60" s="21"/>
      <c r="P60" s="21"/>
      <c r="Q60" s="21"/>
      <c r="R60" s="20" t="s">
        <v>14</v>
      </c>
    </row>
    <row r="61" spans="1:18" s="34" customFormat="1">
      <c r="A61" s="34" t="s">
        <v>14</v>
      </c>
      <c r="B61" s="34" t="s">
        <v>31</v>
      </c>
      <c r="C61" s="34">
        <v>6</v>
      </c>
      <c r="D61" s="21" t="s">
        <v>240</v>
      </c>
      <c r="E61" s="34" t="s">
        <v>214</v>
      </c>
      <c r="N61" s="34" t="s">
        <v>73</v>
      </c>
      <c r="R61" s="35" t="s">
        <v>14</v>
      </c>
    </row>
    <row r="62" spans="1:18" s="46" customFormat="1">
      <c r="A62" s="46" t="s">
        <v>14</v>
      </c>
      <c r="B62" s="46" t="s">
        <v>31</v>
      </c>
      <c r="C62" s="46">
        <v>6</v>
      </c>
      <c r="D62" s="46" t="s">
        <v>241</v>
      </c>
      <c r="E62" s="46" t="s">
        <v>215</v>
      </c>
      <c r="M62" s="46" t="s">
        <v>108</v>
      </c>
      <c r="N62" s="46" t="s">
        <v>66</v>
      </c>
      <c r="R62" s="47" t="s">
        <v>14</v>
      </c>
    </row>
    <row r="63" spans="1:18">
      <c r="A63" s="21" t="s">
        <v>14</v>
      </c>
      <c r="B63" s="21" t="s">
        <v>31</v>
      </c>
      <c r="C63" s="21">
        <v>6</v>
      </c>
      <c r="D63" s="21" t="s">
        <v>242</v>
      </c>
      <c r="E63" s="21" t="s">
        <v>215</v>
      </c>
      <c r="F63" s="21" t="s">
        <v>223</v>
      </c>
      <c r="G63" s="21"/>
      <c r="H63" s="21"/>
      <c r="I63" s="21"/>
      <c r="J63" s="21"/>
      <c r="K63" s="21"/>
      <c r="L63" s="21"/>
      <c r="M63" s="21" t="s">
        <v>74</v>
      </c>
      <c r="N63" s="21" t="s">
        <v>63</v>
      </c>
      <c r="O63" s="21"/>
      <c r="P63" s="21"/>
      <c r="Q63" s="21"/>
      <c r="R63" s="20" t="s">
        <v>14</v>
      </c>
    </row>
    <row r="64" spans="1:18" s="34" customFormat="1">
      <c r="A64" s="34" t="s">
        <v>14</v>
      </c>
      <c r="B64" s="34" t="s">
        <v>31</v>
      </c>
      <c r="C64" s="34">
        <v>6</v>
      </c>
      <c r="D64" s="21" t="s">
        <v>243</v>
      </c>
      <c r="E64" s="34" t="s">
        <v>215</v>
      </c>
      <c r="N64" s="34" t="s">
        <v>73</v>
      </c>
      <c r="R64" s="35" t="s">
        <v>14</v>
      </c>
    </row>
    <row r="65" spans="1:18" s="46" customFormat="1">
      <c r="A65" s="46" t="s">
        <v>14</v>
      </c>
      <c r="B65" s="46" t="s">
        <v>31</v>
      </c>
      <c r="C65" s="46">
        <v>6</v>
      </c>
      <c r="D65" s="46" t="s">
        <v>244</v>
      </c>
      <c r="E65" s="46" t="s">
        <v>216</v>
      </c>
      <c r="M65" s="46" t="s">
        <v>108</v>
      </c>
      <c r="N65" s="46" t="s">
        <v>66</v>
      </c>
      <c r="R65" s="47" t="s">
        <v>14</v>
      </c>
    </row>
    <row r="66" spans="1:18">
      <c r="A66" s="21" t="s">
        <v>14</v>
      </c>
      <c r="B66" s="21" t="s">
        <v>31</v>
      </c>
      <c r="C66" s="21">
        <v>6</v>
      </c>
      <c r="D66" s="21" t="s">
        <v>245</v>
      </c>
      <c r="E66" s="21" t="s">
        <v>216</v>
      </c>
      <c r="F66" s="21" t="s">
        <v>224</v>
      </c>
      <c r="G66" s="21"/>
      <c r="H66" s="21"/>
      <c r="I66" s="21"/>
      <c r="J66" s="21"/>
      <c r="K66" s="21"/>
      <c r="L66" s="21"/>
      <c r="M66" s="21" t="s">
        <v>74</v>
      </c>
      <c r="N66" s="21" t="s">
        <v>63</v>
      </c>
      <c r="O66" s="21"/>
      <c r="P66" s="21"/>
      <c r="Q66" s="21"/>
      <c r="R66" s="20" t="s">
        <v>14</v>
      </c>
    </row>
    <row r="67" spans="1:18" s="34" customFormat="1">
      <c r="A67" s="34" t="s">
        <v>14</v>
      </c>
      <c r="B67" s="34" t="s">
        <v>31</v>
      </c>
      <c r="C67" s="34">
        <v>6</v>
      </c>
      <c r="D67" s="21" t="s">
        <v>246</v>
      </c>
      <c r="E67" s="34" t="s">
        <v>216</v>
      </c>
      <c r="N67" s="34" t="s">
        <v>73</v>
      </c>
      <c r="R67" s="35" t="s">
        <v>14</v>
      </c>
    </row>
    <row r="68" spans="1:18" s="46" customFormat="1">
      <c r="A68" s="46" t="s">
        <v>14</v>
      </c>
      <c r="B68" s="46" t="s">
        <v>31</v>
      </c>
      <c r="C68" s="46">
        <v>6</v>
      </c>
      <c r="D68" s="46" t="s">
        <v>247</v>
      </c>
      <c r="E68" s="46" t="s">
        <v>217</v>
      </c>
      <c r="M68" s="46" t="s">
        <v>108</v>
      </c>
      <c r="N68" s="46" t="s">
        <v>66</v>
      </c>
      <c r="R68" s="47" t="s">
        <v>14</v>
      </c>
    </row>
    <row r="69" spans="1:18">
      <c r="A69" s="21" t="s">
        <v>14</v>
      </c>
      <c r="B69" s="21" t="s">
        <v>31</v>
      </c>
      <c r="C69" s="21">
        <v>6</v>
      </c>
      <c r="D69" s="21" t="s">
        <v>248</v>
      </c>
      <c r="E69" s="21" t="s">
        <v>217</v>
      </c>
      <c r="F69" s="21" t="s">
        <v>225</v>
      </c>
      <c r="G69" s="21"/>
      <c r="H69" s="21"/>
      <c r="I69" s="21"/>
      <c r="J69" s="21"/>
      <c r="K69" s="21"/>
      <c r="L69" s="21"/>
      <c r="M69" s="21" t="s">
        <v>74</v>
      </c>
      <c r="N69" s="21" t="s">
        <v>63</v>
      </c>
      <c r="O69" s="21"/>
      <c r="P69" s="21"/>
      <c r="Q69" s="21"/>
      <c r="R69" s="20" t="s">
        <v>14</v>
      </c>
    </row>
    <row r="70" spans="1:18" s="34" customFormat="1">
      <c r="A70" s="34" t="s">
        <v>14</v>
      </c>
      <c r="B70" s="34" t="s">
        <v>31</v>
      </c>
      <c r="C70" s="34">
        <v>6</v>
      </c>
      <c r="D70" s="21" t="s">
        <v>249</v>
      </c>
      <c r="E70" s="34" t="s">
        <v>217</v>
      </c>
      <c r="N70" s="34" t="s">
        <v>73</v>
      </c>
      <c r="R70" s="35" t="s">
        <v>14</v>
      </c>
    </row>
    <row r="71" spans="1:18" s="31" customFormat="1">
      <c r="A71" s="31" t="s">
        <v>14</v>
      </c>
      <c r="B71" s="31" t="s">
        <v>31</v>
      </c>
      <c r="C71" s="31">
        <v>6</v>
      </c>
      <c r="D71" s="31" t="s">
        <v>250</v>
      </c>
      <c r="E71" s="31" t="s">
        <v>208</v>
      </c>
      <c r="M71" s="31" t="s">
        <v>108</v>
      </c>
      <c r="N71" s="31" t="s">
        <v>66</v>
      </c>
      <c r="R71" s="32" t="s">
        <v>14</v>
      </c>
    </row>
    <row r="72" spans="1:18">
      <c r="A72" s="21" t="s">
        <v>14</v>
      </c>
      <c r="B72" s="21" t="s">
        <v>31</v>
      </c>
      <c r="C72" s="21">
        <v>6</v>
      </c>
      <c r="D72" s="21" t="s">
        <v>251</v>
      </c>
      <c r="E72" s="21" t="s">
        <v>208</v>
      </c>
      <c r="F72" s="21" t="s">
        <v>219</v>
      </c>
      <c r="G72" s="21"/>
      <c r="H72" s="21"/>
      <c r="I72" s="21"/>
      <c r="J72" s="21"/>
      <c r="K72" s="21"/>
      <c r="L72" s="21"/>
      <c r="M72" s="21" t="s">
        <v>74</v>
      </c>
      <c r="N72" s="21" t="s">
        <v>63</v>
      </c>
      <c r="O72" s="21"/>
      <c r="P72" s="21"/>
      <c r="Q72" s="21"/>
      <c r="R72" s="20" t="s">
        <v>14</v>
      </c>
    </row>
    <row r="73" spans="1:18" s="34" customFormat="1">
      <c r="A73" s="34" t="s">
        <v>14</v>
      </c>
      <c r="B73" s="34" t="s">
        <v>31</v>
      </c>
      <c r="C73" s="34">
        <v>6</v>
      </c>
      <c r="D73" s="21" t="s">
        <v>252</v>
      </c>
      <c r="E73" s="34" t="s">
        <v>208</v>
      </c>
      <c r="N73" s="34" t="s">
        <v>73</v>
      </c>
      <c r="R73" s="35" t="s">
        <v>14</v>
      </c>
    </row>
    <row r="74" spans="1:18" s="46" customFormat="1">
      <c r="A74" s="46" t="s">
        <v>14</v>
      </c>
      <c r="B74" s="46" t="s">
        <v>31</v>
      </c>
      <c r="C74" s="46">
        <v>6</v>
      </c>
      <c r="D74" s="46" t="s">
        <v>253</v>
      </c>
      <c r="E74" s="46" t="s">
        <v>254</v>
      </c>
      <c r="M74" s="46" t="s">
        <v>108</v>
      </c>
      <c r="N74" s="46" t="s">
        <v>66</v>
      </c>
      <c r="R74" s="47" t="s">
        <v>14</v>
      </c>
    </row>
    <row r="75" spans="1:18">
      <c r="A75" s="21" t="s">
        <v>14</v>
      </c>
      <c r="B75" s="21" t="s">
        <v>31</v>
      </c>
      <c r="C75" s="21">
        <v>6</v>
      </c>
      <c r="D75" s="21" t="s">
        <v>255</v>
      </c>
      <c r="E75" s="21" t="s">
        <v>254</v>
      </c>
      <c r="F75" s="21" t="s">
        <v>286</v>
      </c>
      <c r="G75" s="21"/>
      <c r="H75" s="21"/>
      <c r="I75" s="21"/>
      <c r="J75" s="21"/>
      <c r="K75" s="21"/>
      <c r="L75" s="21"/>
      <c r="M75" s="21" t="s">
        <v>74</v>
      </c>
      <c r="N75" s="21" t="s">
        <v>63</v>
      </c>
      <c r="O75" s="21"/>
      <c r="P75" s="21"/>
      <c r="Q75" s="21"/>
      <c r="R75" s="20" t="s">
        <v>14</v>
      </c>
    </row>
    <row r="76" spans="1:18" s="34" customFormat="1">
      <c r="A76" s="34" t="s">
        <v>14</v>
      </c>
      <c r="B76" s="34" t="s">
        <v>31</v>
      </c>
      <c r="C76" s="34">
        <v>6</v>
      </c>
      <c r="D76" s="21" t="s">
        <v>256</v>
      </c>
      <c r="E76" s="34" t="s">
        <v>254</v>
      </c>
      <c r="N76" s="34" t="s">
        <v>73</v>
      </c>
      <c r="R76" s="35" t="s">
        <v>14</v>
      </c>
    </row>
    <row r="77" spans="1:18" s="46" customFormat="1">
      <c r="A77" s="46" t="s">
        <v>14</v>
      </c>
      <c r="B77" s="46" t="s">
        <v>31</v>
      </c>
      <c r="C77" s="46">
        <v>6</v>
      </c>
      <c r="D77" s="46" t="s">
        <v>257</v>
      </c>
      <c r="E77" s="46" t="s">
        <v>258</v>
      </c>
      <c r="M77" s="46" t="s">
        <v>108</v>
      </c>
      <c r="N77" s="46" t="s">
        <v>66</v>
      </c>
      <c r="R77" s="47" t="s">
        <v>14</v>
      </c>
    </row>
    <row r="78" spans="1:18">
      <c r="A78" s="21" t="s">
        <v>14</v>
      </c>
      <c r="B78" s="21" t="s">
        <v>31</v>
      </c>
      <c r="C78" s="21">
        <v>6</v>
      </c>
      <c r="D78" s="21" t="s">
        <v>259</v>
      </c>
      <c r="E78" s="21" t="s">
        <v>258</v>
      </c>
      <c r="F78" s="21" t="s">
        <v>287</v>
      </c>
      <c r="G78" s="21"/>
      <c r="H78" s="21"/>
      <c r="I78" s="21"/>
      <c r="J78" s="21"/>
      <c r="K78" s="21"/>
      <c r="L78" s="21"/>
      <c r="M78" s="21" t="s">
        <v>74</v>
      </c>
      <c r="N78" s="21" t="s">
        <v>63</v>
      </c>
      <c r="O78" s="21"/>
      <c r="P78" s="21"/>
      <c r="Q78" s="21"/>
      <c r="R78" s="20" t="s">
        <v>14</v>
      </c>
    </row>
    <row r="79" spans="1:18" s="34" customFormat="1">
      <c r="A79" s="34" t="s">
        <v>14</v>
      </c>
      <c r="B79" s="34" t="s">
        <v>31</v>
      </c>
      <c r="C79" s="34">
        <v>6</v>
      </c>
      <c r="D79" s="21" t="s">
        <v>260</v>
      </c>
      <c r="E79" s="34" t="s">
        <v>258</v>
      </c>
      <c r="N79" s="34" t="s">
        <v>73</v>
      </c>
      <c r="R79" s="35" t="s">
        <v>14</v>
      </c>
    </row>
    <row r="80" spans="1:18" s="46" customFormat="1">
      <c r="A80" s="46" t="s">
        <v>14</v>
      </c>
      <c r="B80" s="46" t="s">
        <v>31</v>
      </c>
      <c r="C80" s="46">
        <v>6</v>
      </c>
      <c r="D80" s="46" t="s">
        <v>261</v>
      </c>
      <c r="E80" s="46" t="s">
        <v>262</v>
      </c>
      <c r="M80" s="46" t="s">
        <v>108</v>
      </c>
      <c r="N80" s="46" t="s">
        <v>66</v>
      </c>
      <c r="R80" s="47" t="s">
        <v>14</v>
      </c>
    </row>
    <row r="81" spans="1:18">
      <c r="A81" s="21" t="s">
        <v>14</v>
      </c>
      <c r="B81" s="21" t="s">
        <v>31</v>
      </c>
      <c r="C81" s="21">
        <v>6</v>
      </c>
      <c r="D81" s="21" t="s">
        <v>263</v>
      </c>
      <c r="E81" s="21" t="s">
        <v>262</v>
      </c>
      <c r="F81" s="21" t="s">
        <v>288</v>
      </c>
      <c r="G81" s="21"/>
      <c r="H81" s="21"/>
      <c r="I81" s="21"/>
      <c r="J81" s="21"/>
      <c r="K81" s="21"/>
      <c r="L81" s="21"/>
      <c r="M81" s="21" t="s">
        <v>74</v>
      </c>
      <c r="N81" s="21" t="s">
        <v>63</v>
      </c>
      <c r="O81" s="21"/>
      <c r="P81" s="21"/>
      <c r="Q81" s="21"/>
      <c r="R81" s="20" t="s">
        <v>14</v>
      </c>
    </row>
    <row r="82" spans="1:18" s="34" customFormat="1">
      <c r="A82" s="34" t="s">
        <v>14</v>
      </c>
      <c r="B82" s="34" t="s">
        <v>31</v>
      </c>
      <c r="C82" s="34">
        <v>6</v>
      </c>
      <c r="D82" s="21" t="s">
        <v>264</v>
      </c>
      <c r="E82" s="34" t="s">
        <v>262</v>
      </c>
      <c r="N82" s="34" t="s">
        <v>73</v>
      </c>
      <c r="R82" s="35" t="s">
        <v>14</v>
      </c>
    </row>
    <row r="83" spans="1:18" s="46" customFormat="1">
      <c r="A83" s="46" t="s">
        <v>14</v>
      </c>
      <c r="B83" s="46" t="s">
        <v>31</v>
      </c>
      <c r="C83" s="46">
        <v>6</v>
      </c>
      <c r="D83" s="46" t="s">
        <v>265</v>
      </c>
      <c r="E83" s="46" t="s">
        <v>266</v>
      </c>
      <c r="M83" s="46" t="s">
        <v>108</v>
      </c>
      <c r="N83" s="46" t="s">
        <v>66</v>
      </c>
      <c r="R83" s="47" t="s">
        <v>14</v>
      </c>
    </row>
    <row r="84" spans="1:18">
      <c r="A84" s="21" t="s">
        <v>14</v>
      </c>
      <c r="B84" s="21" t="s">
        <v>31</v>
      </c>
      <c r="C84" s="21">
        <v>6</v>
      </c>
      <c r="D84" s="21" t="s">
        <v>267</v>
      </c>
      <c r="E84" s="21" t="s">
        <v>266</v>
      </c>
      <c r="F84" s="21" t="s">
        <v>289</v>
      </c>
      <c r="G84" s="21"/>
      <c r="H84" s="21"/>
      <c r="I84" s="21"/>
      <c r="J84" s="21"/>
      <c r="K84" s="21"/>
      <c r="L84" s="21"/>
      <c r="M84" s="21" t="s">
        <v>74</v>
      </c>
      <c r="N84" s="21" t="s">
        <v>63</v>
      </c>
      <c r="O84" s="21"/>
      <c r="P84" s="21"/>
      <c r="Q84" s="21"/>
      <c r="R84" s="20" t="s">
        <v>14</v>
      </c>
    </row>
    <row r="85" spans="1:18" s="34" customFormat="1">
      <c r="A85" s="34" t="s">
        <v>14</v>
      </c>
      <c r="B85" s="34" t="s">
        <v>31</v>
      </c>
      <c r="C85" s="34">
        <v>6</v>
      </c>
      <c r="D85" s="21" t="s">
        <v>268</v>
      </c>
      <c r="E85" s="34" t="s">
        <v>266</v>
      </c>
      <c r="N85" s="34" t="s">
        <v>73</v>
      </c>
      <c r="R85" s="35" t="s">
        <v>14</v>
      </c>
    </row>
    <row r="86" spans="1:18" s="46" customFormat="1">
      <c r="A86" s="46" t="s">
        <v>14</v>
      </c>
      <c r="B86" s="46" t="s">
        <v>31</v>
      </c>
      <c r="C86" s="46">
        <v>6</v>
      </c>
      <c r="D86" s="46" t="s">
        <v>269</v>
      </c>
      <c r="E86" s="46" t="s">
        <v>270</v>
      </c>
      <c r="M86" s="46" t="s">
        <v>108</v>
      </c>
      <c r="N86" s="46" t="s">
        <v>66</v>
      </c>
      <c r="R86" s="47" t="s">
        <v>14</v>
      </c>
    </row>
    <row r="87" spans="1:18">
      <c r="A87" s="21" t="s">
        <v>14</v>
      </c>
      <c r="B87" s="21" t="s">
        <v>31</v>
      </c>
      <c r="C87" s="21">
        <v>6</v>
      </c>
      <c r="D87" s="21" t="s">
        <v>271</v>
      </c>
      <c r="E87" s="21" t="s">
        <v>270</v>
      </c>
      <c r="F87" s="21" t="s">
        <v>290</v>
      </c>
      <c r="G87" s="21"/>
      <c r="H87" s="21"/>
      <c r="I87" s="21"/>
      <c r="J87" s="21"/>
      <c r="K87" s="21"/>
      <c r="L87" s="21"/>
      <c r="M87" s="21" t="s">
        <v>74</v>
      </c>
      <c r="N87" s="21" t="s">
        <v>63</v>
      </c>
      <c r="O87" s="21"/>
      <c r="P87" s="21"/>
      <c r="Q87" s="21"/>
      <c r="R87" s="20" t="s">
        <v>14</v>
      </c>
    </row>
    <row r="88" spans="1:18" s="34" customFormat="1">
      <c r="A88" s="34" t="s">
        <v>14</v>
      </c>
      <c r="B88" s="34" t="s">
        <v>31</v>
      </c>
      <c r="C88" s="34">
        <v>6</v>
      </c>
      <c r="D88" s="21" t="s">
        <v>272</v>
      </c>
      <c r="E88" s="34" t="s">
        <v>270</v>
      </c>
      <c r="N88" s="34" t="s">
        <v>73</v>
      </c>
      <c r="R88" s="35" t="s">
        <v>14</v>
      </c>
    </row>
    <row r="89" spans="1:18" s="46" customFormat="1">
      <c r="A89" s="46" t="s">
        <v>14</v>
      </c>
      <c r="B89" s="46" t="s">
        <v>31</v>
      </c>
      <c r="C89" s="46">
        <v>6</v>
      </c>
      <c r="D89" s="46" t="s">
        <v>273</v>
      </c>
      <c r="E89" s="46" t="s">
        <v>274</v>
      </c>
      <c r="M89" s="46" t="s">
        <v>108</v>
      </c>
      <c r="N89" s="46" t="s">
        <v>66</v>
      </c>
      <c r="R89" s="47" t="s">
        <v>14</v>
      </c>
    </row>
    <row r="90" spans="1:18">
      <c r="A90" s="21" t="s">
        <v>14</v>
      </c>
      <c r="B90" s="21" t="s">
        <v>31</v>
      </c>
      <c r="C90" s="21">
        <v>6</v>
      </c>
      <c r="D90" s="21" t="s">
        <v>275</v>
      </c>
      <c r="E90" s="21" t="s">
        <v>274</v>
      </c>
      <c r="F90" s="21" t="s">
        <v>291</v>
      </c>
      <c r="G90" s="21"/>
      <c r="H90" s="21"/>
      <c r="I90" s="21"/>
      <c r="J90" s="21"/>
      <c r="K90" s="21"/>
      <c r="L90" s="21"/>
      <c r="M90" s="21" t="s">
        <v>74</v>
      </c>
      <c r="N90" s="21" t="s">
        <v>63</v>
      </c>
      <c r="O90" s="21"/>
      <c r="P90" s="21"/>
      <c r="Q90" s="21"/>
      <c r="R90" s="20" t="s">
        <v>14</v>
      </c>
    </row>
    <row r="91" spans="1:18" s="34" customFormat="1">
      <c r="A91" s="34" t="s">
        <v>14</v>
      </c>
      <c r="B91" s="34" t="s">
        <v>31</v>
      </c>
      <c r="C91" s="34">
        <v>6</v>
      </c>
      <c r="D91" s="21" t="s">
        <v>276</v>
      </c>
      <c r="E91" s="34" t="s">
        <v>274</v>
      </c>
      <c r="N91" s="34" t="s">
        <v>73</v>
      </c>
      <c r="R91" s="35" t="s">
        <v>14</v>
      </c>
    </row>
    <row r="92" spans="1:18" s="46" customFormat="1">
      <c r="A92" s="46" t="s">
        <v>14</v>
      </c>
      <c r="B92" s="46" t="s">
        <v>31</v>
      </c>
      <c r="C92" s="46">
        <v>6</v>
      </c>
      <c r="D92" s="46" t="s">
        <v>277</v>
      </c>
      <c r="E92" s="46" t="s">
        <v>278</v>
      </c>
      <c r="M92" s="46" t="s">
        <v>108</v>
      </c>
      <c r="N92" s="46" t="s">
        <v>66</v>
      </c>
      <c r="R92" s="47" t="s">
        <v>14</v>
      </c>
    </row>
    <row r="93" spans="1:18">
      <c r="A93" s="21" t="s">
        <v>14</v>
      </c>
      <c r="B93" s="21" t="s">
        <v>31</v>
      </c>
      <c r="C93" s="21">
        <v>6</v>
      </c>
      <c r="D93" s="21" t="s">
        <v>279</v>
      </c>
      <c r="E93" s="21" t="s">
        <v>278</v>
      </c>
      <c r="F93" s="21" t="s">
        <v>292</v>
      </c>
      <c r="G93" s="21"/>
      <c r="H93" s="21"/>
      <c r="I93" s="21"/>
      <c r="J93" s="21"/>
      <c r="K93" s="21"/>
      <c r="L93" s="21"/>
      <c r="M93" s="21" t="s">
        <v>74</v>
      </c>
      <c r="N93" s="21" t="s">
        <v>63</v>
      </c>
      <c r="O93" s="21"/>
      <c r="P93" s="21"/>
      <c r="Q93" s="21"/>
      <c r="R93" s="20" t="s">
        <v>14</v>
      </c>
    </row>
    <row r="94" spans="1:18" s="34" customFormat="1">
      <c r="A94" s="34" t="s">
        <v>14</v>
      </c>
      <c r="B94" s="34" t="s">
        <v>31</v>
      </c>
      <c r="C94" s="34">
        <v>6</v>
      </c>
      <c r="D94" s="21" t="s">
        <v>280</v>
      </c>
      <c r="E94" s="34" t="s">
        <v>278</v>
      </c>
      <c r="N94" s="34" t="s">
        <v>73</v>
      </c>
      <c r="R94" s="35" t="s">
        <v>14</v>
      </c>
    </row>
    <row r="95" spans="1:18" s="46" customFormat="1">
      <c r="A95" s="46" t="s">
        <v>14</v>
      </c>
      <c r="B95" s="46" t="s">
        <v>31</v>
      </c>
      <c r="C95" s="46">
        <v>6</v>
      </c>
      <c r="D95" s="46" t="s">
        <v>281</v>
      </c>
      <c r="E95" s="46" t="s">
        <v>282</v>
      </c>
      <c r="M95" s="46" t="s">
        <v>108</v>
      </c>
      <c r="N95" s="46" t="s">
        <v>66</v>
      </c>
      <c r="R95" s="47" t="s">
        <v>14</v>
      </c>
    </row>
    <row r="96" spans="1:18">
      <c r="A96" s="21" t="s">
        <v>14</v>
      </c>
      <c r="B96" s="21" t="s">
        <v>31</v>
      </c>
      <c r="C96" s="21">
        <v>6</v>
      </c>
      <c r="D96" s="21" t="s">
        <v>283</v>
      </c>
      <c r="E96" s="21" t="s">
        <v>282</v>
      </c>
      <c r="F96" s="21" t="s">
        <v>293</v>
      </c>
      <c r="G96" s="21"/>
      <c r="H96" s="21"/>
      <c r="I96" s="21"/>
      <c r="J96" s="21"/>
      <c r="K96" s="21"/>
      <c r="L96" s="21"/>
      <c r="M96" s="21" t="s">
        <v>74</v>
      </c>
      <c r="N96" s="21" t="s">
        <v>63</v>
      </c>
      <c r="O96" s="21"/>
      <c r="P96" s="21"/>
      <c r="Q96" s="21"/>
      <c r="R96" s="20" t="s">
        <v>14</v>
      </c>
    </row>
    <row r="97" spans="1:18" s="34" customFormat="1">
      <c r="A97" s="34" t="s">
        <v>14</v>
      </c>
      <c r="B97" s="34" t="s">
        <v>31</v>
      </c>
      <c r="C97" s="34">
        <v>6</v>
      </c>
      <c r="D97" s="21" t="s">
        <v>284</v>
      </c>
      <c r="E97" s="34" t="s">
        <v>282</v>
      </c>
      <c r="N97" s="34" t="s">
        <v>73</v>
      </c>
      <c r="R97" s="35" t="s">
        <v>14</v>
      </c>
    </row>
    <row r="98" spans="1:18" s="56" customFormat="1">
      <c r="A98" s="56" t="s">
        <v>14</v>
      </c>
      <c r="B98" s="56" t="s">
        <v>294</v>
      </c>
      <c r="C98" s="56">
        <v>7</v>
      </c>
      <c r="D98" s="56" t="s">
        <v>43</v>
      </c>
      <c r="E98" s="56" t="s">
        <v>295</v>
      </c>
      <c r="F98" s="56" t="s">
        <v>298</v>
      </c>
      <c r="M98" s="56" t="s">
        <v>296</v>
      </c>
      <c r="N98" s="56" t="s">
        <v>297</v>
      </c>
      <c r="P98" s="56" t="s">
        <v>94</v>
      </c>
      <c r="Q98" s="56" t="s">
        <v>103</v>
      </c>
      <c r="R98" s="57" t="s">
        <v>14</v>
      </c>
    </row>
    <row r="99" spans="1:18">
      <c r="A99" s="21" t="s">
        <v>14</v>
      </c>
      <c r="B99" s="21" t="s">
        <v>377</v>
      </c>
      <c r="C99" s="21">
        <v>7</v>
      </c>
      <c r="D99" s="21" t="s">
        <v>93</v>
      </c>
      <c r="E99" s="21"/>
      <c r="F99" s="21"/>
      <c r="G99" s="21"/>
      <c r="H99" s="21"/>
      <c r="I99" s="21"/>
      <c r="J99" s="21"/>
      <c r="K99" s="21"/>
      <c r="L99" s="21"/>
      <c r="M99" s="21"/>
      <c r="N99" s="21" t="s">
        <v>109</v>
      </c>
      <c r="O99" s="21">
        <v>2</v>
      </c>
      <c r="P99" s="21">
        <v>3</v>
      </c>
      <c r="Q99" s="21" t="s">
        <v>378</v>
      </c>
      <c r="R99" s="20" t="s">
        <v>14</v>
      </c>
    </row>
    <row r="100" spans="1:18">
      <c r="A100" s="21" t="s">
        <v>14</v>
      </c>
      <c r="B100" s="21" t="s">
        <v>377</v>
      </c>
      <c r="C100" s="21">
        <v>7</v>
      </c>
      <c r="D100" s="21" t="s">
        <v>53</v>
      </c>
      <c r="E100" s="21"/>
      <c r="F100" s="21"/>
      <c r="G100" s="21"/>
      <c r="H100" s="21"/>
      <c r="I100" s="21"/>
      <c r="J100" s="21"/>
      <c r="K100" s="21"/>
      <c r="L100" s="21"/>
      <c r="M100" s="21"/>
      <c r="N100" s="21" t="s">
        <v>109</v>
      </c>
      <c r="O100" s="21">
        <v>2</v>
      </c>
      <c r="P100" s="21">
        <v>3</v>
      </c>
      <c r="Q100" s="21" t="s">
        <v>378</v>
      </c>
      <c r="R100" s="20" t="s">
        <v>14</v>
      </c>
    </row>
    <row r="101" spans="1:18" s="56" customFormat="1">
      <c r="A101" s="56" t="s">
        <v>14</v>
      </c>
      <c r="B101" s="56" t="s">
        <v>31</v>
      </c>
      <c r="C101" s="56">
        <v>9</v>
      </c>
      <c r="D101" s="56" t="s">
        <v>60</v>
      </c>
      <c r="E101" s="56" t="s">
        <v>159</v>
      </c>
      <c r="N101" s="56" t="s">
        <v>88</v>
      </c>
      <c r="R101" s="57" t="s">
        <v>14</v>
      </c>
    </row>
    <row r="102" spans="1:18">
      <c r="A102" s="21" t="s">
        <v>14</v>
      </c>
      <c r="B102" s="21" t="s">
        <v>31</v>
      </c>
      <c r="C102" s="21">
        <v>9</v>
      </c>
      <c r="D102" s="21" t="s">
        <v>79</v>
      </c>
      <c r="E102" s="21" t="s">
        <v>161</v>
      </c>
      <c r="F102" s="21"/>
      <c r="G102" s="21"/>
      <c r="H102" s="21"/>
      <c r="I102" s="21"/>
      <c r="J102" s="21"/>
      <c r="K102" s="21"/>
      <c r="L102" s="21"/>
      <c r="M102" s="21" t="s">
        <v>108</v>
      </c>
      <c r="N102" s="21" t="s">
        <v>88</v>
      </c>
      <c r="O102" s="21"/>
      <c r="P102" s="21"/>
      <c r="Q102" s="21"/>
      <c r="R102" s="20" t="s">
        <v>14</v>
      </c>
    </row>
    <row r="103" spans="1:18" s="34" customFormat="1">
      <c r="A103" s="34" t="s">
        <v>14</v>
      </c>
      <c r="B103" s="34" t="s">
        <v>27</v>
      </c>
      <c r="C103" s="34">
        <v>9</v>
      </c>
      <c r="D103" s="34" t="s">
        <v>44</v>
      </c>
      <c r="R103" s="35" t="s">
        <v>14</v>
      </c>
    </row>
    <row r="104" spans="1:18" s="46" customFormat="1">
      <c r="A104" s="46" t="s">
        <v>14</v>
      </c>
      <c r="B104" s="46" t="s">
        <v>31</v>
      </c>
      <c r="C104" s="46">
        <v>9</v>
      </c>
      <c r="D104" s="46" t="s">
        <v>61</v>
      </c>
      <c r="E104" s="46" t="s">
        <v>159</v>
      </c>
      <c r="N104" s="46" t="s">
        <v>89</v>
      </c>
      <c r="R104" s="47" t="s">
        <v>14</v>
      </c>
    </row>
    <row r="105" spans="1:18">
      <c r="A105" s="21" t="s">
        <v>14</v>
      </c>
      <c r="B105" s="21" t="s">
        <v>31</v>
      </c>
      <c r="C105" s="21">
        <v>9</v>
      </c>
      <c r="D105" s="21" t="s">
        <v>80</v>
      </c>
      <c r="E105" s="21" t="s">
        <v>161</v>
      </c>
      <c r="F105" s="21"/>
      <c r="G105" s="21"/>
      <c r="H105" s="21"/>
      <c r="I105" s="21"/>
      <c r="J105" s="21"/>
      <c r="K105" s="21"/>
      <c r="L105" s="21"/>
      <c r="M105" s="21" t="s">
        <v>108</v>
      </c>
      <c r="N105" s="21" t="s">
        <v>89</v>
      </c>
      <c r="O105" s="21"/>
      <c r="P105" s="21"/>
      <c r="Q105" s="21"/>
      <c r="R105" s="20" t="s">
        <v>14</v>
      </c>
    </row>
    <row r="106" spans="1:18" s="34" customFormat="1">
      <c r="A106" s="34" t="s">
        <v>14</v>
      </c>
      <c r="B106" s="34" t="s">
        <v>27</v>
      </c>
      <c r="C106" s="34">
        <v>9</v>
      </c>
      <c r="D106" s="34" t="s">
        <v>45</v>
      </c>
      <c r="R106" s="35" t="s">
        <v>14</v>
      </c>
    </row>
    <row r="107" spans="1:18" s="46" customFormat="1">
      <c r="A107" s="46" t="s">
        <v>14</v>
      </c>
      <c r="B107" s="46" t="s">
        <v>31</v>
      </c>
      <c r="C107" s="46">
        <v>9</v>
      </c>
      <c r="D107" s="46" t="s">
        <v>62</v>
      </c>
      <c r="E107" s="46" t="s">
        <v>159</v>
      </c>
      <c r="N107" s="46" t="s">
        <v>90</v>
      </c>
      <c r="R107" s="47" t="s">
        <v>14</v>
      </c>
    </row>
    <row r="108" spans="1:18">
      <c r="A108" s="21" t="s">
        <v>14</v>
      </c>
      <c r="B108" s="21" t="s">
        <v>31</v>
      </c>
      <c r="C108" s="21">
        <v>9</v>
      </c>
      <c r="D108" s="21" t="s">
        <v>81</v>
      </c>
      <c r="E108" s="21" t="s">
        <v>161</v>
      </c>
      <c r="F108" s="21"/>
      <c r="G108" s="21"/>
      <c r="H108" s="21"/>
      <c r="I108" s="21"/>
      <c r="J108" s="21"/>
      <c r="K108" s="21"/>
      <c r="L108" s="21"/>
      <c r="M108" s="21" t="s">
        <v>108</v>
      </c>
      <c r="N108" s="21" t="s">
        <v>90</v>
      </c>
      <c r="O108" s="21"/>
      <c r="P108" s="21"/>
      <c r="Q108" s="21"/>
      <c r="R108" s="20" t="s">
        <v>14</v>
      </c>
    </row>
    <row r="109" spans="1:18" s="34" customFormat="1">
      <c r="A109" s="34" t="s">
        <v>14</v>
      </c>
      <c r="B109" s="34" t="s">
        <v>27</v>
      </c>
      <c r="C109" s="34">
        <v>9</v>
      </c>
      <c r="D109" s="34" t="s">
        <v>46</v>
      </c>
      <c r="R109" s="35" t="s">
        <v>14</v>
      </c>
    </row>
    <row r="110" spans="1:18" s="46" customFormat="1">
      <c r="A110" s="46" t="s">
        <v>14</v>
      </c>
      <c r="B110" s="46" t="s">
        <v>31</v>
      </c>
      <c r="C110" s="46">
        <v>9</v>
      </c>
      <c r="D110" s="46" t="s">
        <v>82</v>
      </c>
      <c r="E110" s="46" t="s">
        <v>159</v>
      </c>
      <c r="N110" s="46" t="s">
        <v>91</v>
      </c>
      <c r="R110" s="47" t="s">
        <v>14</v>
      </c>
    </row>
    <row r="111" spans="1:18">
      <c r="A111" s="21" t="s">
        <v>14</v>
      </c>
      <c r="B111" s="21" t="s">
        <v>31</v>
      </c>
      <c r="C111" s="21">
        <v>9</v>
      </c>
      <c r="D111" s="21" t="s">
        <v>83</v>
      </c>
      <c r="E111" s="21" t="s">
        <v>161</v>
      </c>
      <c r="F111" s="21"/>
      <c r="G111" s="21"/>
      <c r="H111" s="21"/>
      <c r="I111" s="21"/>
      <c r="J111" s="21"/>
      <c r="K111" s="21"/>
      <c r="L111" s="21"/>
      <c r="M111" s="21" t="s">
        <v>108</v>
      </c>
      <c r="N111" s="21" t="s">
        <v>91</v>
      </c>
      <c r="O111" s="21"/>
      <c r="P111" s="21"/>
      <c r="Q111" s="21"/>
      <c r="R111" s="20" t="s">
        <v>14</v>
      </c>
    </row>
    <row r="112" spans="1:18" s="34" customFormat="1">
      <c r="A112" s="34" t="s">
        <v>14</v>
      </c>
      <c r="B112" s="34" t="s">
        <v>27</v>
      </c>
      <c r="C112" s="34">
        <v>9</v>
      </c>
      <c r="D112" s="34" t="s">
        <v>84</v>
      </c>
      <c r="R112" s="35" t="s">
        <v>14</v>
      </c>
    </row>
    <row r="113" spans="1:18" s="46" customFormat="1">
      <c r="A113" s="46" t="s">
        <v>14</v>
      </c>
      <c r="B113" s="46" t="s">
        <v>31</v>
      </c>
      <c r="C113" s="46">
        <v>9</v>
      </c>
      <c r="D113" s="46" t="s">
        <v>85</v>
      </c>
      <c r="E113" s="46" t="s">
        <v>159</v>
      </c>
      <c r="N113" s="46" t="s">
        <v>92</v>
      </c>
      <c r="R113" s="47" t="s">
        <v>14</v>
      </c>
    </row>
    <row r="114" spans="1:18">
      <c r="A114" s="21" t="s">
        <v>14</v>
      </c>
      <c r="B114" s="21" t="s">
        <v>31</v>
      </c>
      <c r="C114" s="21">
        <v>9</v>
      </c>
      <c r="D114" s="21" t="s">
        <v>86</v>
      </c>
      <c r="E114" s="21" t="s">
        <v>161</v>
      </c>
      <c r="F114" s="21"/>
      <c r="G114" s="21"/>
      <c r="H114" s="21"/>
      <c r="I114" s="21"/>
      <c r="J114" s="21"/>
      <c r="K114" s="21"/>
      <c r="L114" s="21"/>
      <c r="M114" s="21" t="s">
        <v>108</v>
      </c>
      <c r="N114" s="21" t="s">
        <v>92</v>
      </c>
      <c r="O114" s="21"/>
      <c r="P114" s="21"/>
      <c r="Q114" s="21"/>
      <c r="R114" s="20" t="s">
        <v>14</v>
      </c>
    </row>
    <row r="115" spans="1:18" s="34" customFormat="1">
      <c r="A115" s="34" t="s">
        <v>14</v>
      </c>
      <c r="B115" s="34" t="s">
        <v>27</v>
      </c>
      <c r="C115" s="34">
        <v>9</v>
      </c>
      <c r="D115" s="34" t="s">
        <v>87</v>
      </c>
      <c r="R115" s="35" t="s">
        <v>14</v>
      </c>
    </row>
    <row r="116" spans="1:18" s="56" customFormat="1">
      <c r="A116" s="56" t="s">
        <v>14</v>
      </c>
      <c r="B116" s="56" t="s">
        <v>31</v>
      </c>
      <c r="C116" s="56">
        <v>10</v>
      </c>
      <c r="D116" s="56" t="s">
        <v>60</v>
      </c>
      <c r="E116" s="56" t="s">
        <v>170</v>
      </c>
      <c r="N116" s="56" t="s">
        <v>88</v>
      </c>
      <c r="R116" s="57" t="s">
        <v>14</v>
      </c>
    </row>
    <row r="117" spans="1:18">
      <c r="A117" s="21" t="s">
        <v>14</v>
      </c>
      <c r="B117" s="21" t="s">
        <v>31</v>
      </c>
      <c r="C117" s="21">
        <v>10</v>
      </c>
      <c r="D117" s="21" t="s">
        <v>79</v>
      </c>
      <c r="E117" s="21" t="s">
        <v>171</v>
      </c>
      <c r="F117" s="21"/>
      <c r="G117" s="21"/>
      <c r="H117" s="21"/>
      <c r="I117" s="21"/>
      <c r="J117" s="21"/>
      <c r="K117" s="21"/>
      <c r="L117" s="21"/>
      <c r="M117" s="21" t="s">
        <v>108</v>
      </c>
      <c r="N117" s="21" t="s">
        <v>88</v>
      </c>
      <c r="O117" s="21"/>
      <c r="P117" s="21"/>
      <c r="Q117" s="21"/>
      <c r="R117" s="20" t="s">
        <v>14</v>
      </c>
    </row>
    <row r="118" spans="1:18" s="34" customFormat="1">
      <c r="A118" s="34" t="s">
        <v>14</v>
      </c>
      <c r="B118" s="34" t="s">
        <v>27</v>
      </c>
      <c r="C118" s="34">
        <v>10</v>
      </c>
      <c r="D118" s="34" t="s">
        <v>44</v>
      </c>
      <c r="R118" s="35" t="s">
        <v>14</v>
      </c>
    </row>
    <row r="119" spans="1:18" s="46" customFormat="1">
      <c r="A119" s="46" t="s">
        <v>14</v>
      </c>
      <c r="B119" s="46" t="s">
        <v>31</v>
      </c>
      <c r="C119" s="46">
        <v>10</v>
      </c>
      <c r="D119" s="46" t="s">
        <v>61</v>
      </c>
      <c r="E119" s="46" t="s">
        <v>170</v>
      </c>
      <c r="N119" s="46" t="s">
        <v>89</v>
      </c>
      <c r="R119" s="47" t="s">
        <v>14</v>
      </c>
    </row>
    <row r="120" spans="1:18">
      <c r="A120" s="21" t="s">
        <v>14</v>
      </c>
      <c r="B120" s="21" t="s">
        <v>31</v>
      </c>
      <c r="C120" s="21">
        <v>10</v>
      </c>
      <c r="D120" s="21" t="s">
        <v>80</v>
      </c>
      <c r="E120" s="21" t="s">
        <v>171</v>
      </c>
      <c r="F120" s="21"/>
      <c r="G120" s="21"/>
      <c r="H120" s="21"/>
      <c r="I120" s="21"/>
      <c r="J120" s="21"/>
      <c r="K120" s="21"/>
      <c r="L120" s="21"/>
      <c r="M120" s="21" t="s">
        <v>108</v>
      </c>
      <c r="N120" s="21" t="s">
        <v>89</v>
      </c>
      <c r="O120" s="21"/>
      <c r="P120" s="21"/>
      <c r="Q120" s="21"/>
      <c r="R120" s="20" t="s">
        <v>14</v>
      </c>
    </row>
    <row r="121" spans="1:18" s="34" customFormat="1">
      <c r="A121" s="34" t="s">
        <v>14</v>
      </c>
      <c r="B121" s="34" t="s">
        <v>27</v>
      </c>
      <c r="C121" s="34">
        <v>10</v>
      </c>
      <c r="D121" s="34" t="s">
        <v>45</v>
      </c>
      <c r="R121" s="35" t="s">
        <v>14</v>
      </c>
    </row>
    <row r="122" spans="1:18" s="46" customFormat="1">
      <c r="A122" s="46" t="s">
        <v>14</v>
      </c>
      <c r="B122" s="46" t="s">
        <v>31</v>
      </c>
      <c r="C122" s="46">
        <v>10</v>
      </c>
      <c r="D122" s="46" t="s">
        <v>62</v>
      </c>
      <c r="E122" s="46" t="s">
        <v>170</v>
      </c>
      <c r="N122" s="46" t="s">
        <v>90</v>
      </c>
      <c r="R122" s="47" t="s">
        <v>14</v>
      </c>
    </row>
    <row r="123" spans="1:18">
      <c r="A123" s="21" t="s">
        <v>14</v>
      </c>
      <c r="B123" s="21" t="s">
        <v>31</v>
      </c>
      <c r="C123" s="21">
        <v>10</v>
      </c>
      <c r="D123" s="21" t="s">
        <v>81</v>
      </c>
      <c r="E123" s="21" t="s">
        <v>171</v>
      </c>
      <c r="F123" s="21"/>
      <c r="G123" s="21"/>
      <c r="H123" s="21"/>
      <c r="I123" s="21"/>
      <c r="J123" s="21"/>
      <c r="K123" s="21"/>
      <c r="L123" s="21"/>
      <c r="M123" s="21" t="s">
        <v>108</v>
      </c>
      <c r="N123" s="21" t="s">
        <v>90</v>
      </c>
      <c r="O123" s="21"/>
      <c r="P123" s="21"/>
      <c r="Q123" s="21"/>
      <c r="R123" s="20" t="s">
        <v>14</v>
      </c>
    </row>
    <row r="124" spans="1:18" s="34" customFormat="1">
      <c r="A124" s="34" t="s">
        <v>14</v>
      </c>
      <c r="B124" s="34" t="s">
        <v>27</v>
      </c>
      <c r="C124" s="34">
        <v>10</v>
      </c>
      <c r="D124" s="34" t="s">
        <v>46</v>
      </c>
      <c r="R124" s="35" t="s">
        <v>14</v>
      </c>
    </row>
    <row r="125" spans="1:18" s="46" customFormat="1">
      <c r="A125" s="46" t="s">
        <v>14</v>
      </c>
      <c r="B125" s="46" t="s">
        <v>31</v>
      </c>
      <c r="C125" s="46">
        <v>10</v>
      </c>
      <c r="D125" s="46" t="s">
        <v>82</v>
      </c>
      <c r="E125" s="46" t="s">
        <v>170</v>
      </c>
      <c r="N125" s="46" t="s">
        <v>91</v>
      </c>
      <c r="R125" s="47" t="s">
        <v>14</v>
      </c>
    </row>
    <row r="126" spans="1:18">
      <c r="A126" s="21" t="s">
        <v>14</v>
      </c>
      <c r="B126" s="21" t="s">
        <v>31</v>
      </c>
      <c r="C126" s="21">
        <v>10</v>
      </c>
      <c r="D126" s="21" t="s">
        <v>83</v>
      </c>
      <c r="E126" s="21" t="s">
        <v>171</v>
      </c>
      <c r="F126" s="21"/>
      <c r="G126" s="21"/>
      <c r="H126" s="21"/>
      <c r="I126" s="21"/>
      <c r="J126" s="21"/>
      <c r="K126" s="21"/>
      <c r="L126" s="21"/>
      <c r="M126" s="21" t="s">
        <v>108</v>
      </c>
      <c r="N126" s="21" t="s">
        <v>91</v>
      </c>
      <c r="O126" s="21"/>
      <c r="P126" s="21"/>
      <c r="Q126" s="21"/>
      <c r="R126" s="20" t="s">
        <v>14</v>
      </c>
    </row>
    <row r="127" spans="1:18" s="34" customFormat="1">
      <c r="A127" s="34" t="s">
        <v>14</v>
      </c>
      <c r="B127" s="34" t="s">
        <v>27</v>
      </c>
      <c r="C127" s="34">
        <v>10</v>
      </c>
      <c r="D127" s="34" t="s">
        <v>84</v>
      </c>
      <c r="R127" s="35" t="s">
        <v>14</v>
      </c>
    </row>
    <row r="128" spans="1:18" s="46" customFormat="1">
      <c r="A128" s="46" t="s">
        <v>14</v>
      </c>
      <c r="B128" s="46" t="s">
        <v>31</v>
      </c>
      <c r="C128" s="46">
        <v>10</v>
      </c>
      <c r="D128" s="46" t="s">
        <v>85</v>
      </c>
      <c r="E128" s="46" t="s">
        <v>170</v>
      </c>
      <c r="N128" s="46" t="s">
        <v>92</v>
      </c>
      <c r="R128" s="47" t="s">
        <v>14</v>
      </c>
    </row>
    <row r="129" spans="1:18">
      <c r="A129" s="21" t="s">
        <v>14</v>
      </c>
      <c r="B129" s="21" t="s">
        <v>31</v>
      </c>
      <c r="C129" s="21">
        <v>10</v>
      </c>
      <c r="D129" s="21" t="s">
        <v>86</v>
      </c>
      <c r="E129" s="21" t="s">
        <v>171</v>
      </c>
      <c r="F129" s="21"/>
      <c r="G129" s="21"/>
      <c r="H129" s="21"/>
      <c r="I129" s="21"/>
      <c r="J129" s="21"/>
      <c r="K129" s="21"/>
      <c r="L129" s="21"/>
      <c r="M129" s="21" t="s">
        <v>108</v>
      </c>
      <c r="N129" s="21" t="s">
        <v>92</v>
      </c>
      <c r="O129" s="21"/>
      <c r="P129" s="21"/>
      <c r="Q129" s="21"/>
      <c r="R129" s="20" t="s">
        <v>14</v>
      </c>
    </row>
    <row r="130" spans="1:18" s="34" customFormat="1">
      <c r="A130" s="34" t="s">
        <v>14</v>
      </c>
      <c r="B130" s="34" t="s">
        <v>27</v>
      </c>
      <c r="C130" s="34">
        <v>10</v>
      </c>
      <c r="D130" s="34" t="s">
        <v>87</v>
      </c>
      <c r="R130" s="35" t="s">
        <v>14</v>
      </c>
    </row>
    <row r="131" spans="1:18" s="56" customFormat="1">
      <c r="A131" s="56" t="s">
        <v>14</v>
      </c>
      <c r="B131" s="56" t="s">
        <v>31</v>
      </c>
      <c r="C131" s="56">
        <v>11</v>
      </c>
      <c r="D131" s="56" t="s">
        <v>299</v>
      </c>
      <c r="E131" s="56" t="s">
        <v>317</v>
      </c>
      <c r="N131" s="56" t="s">
        <v>97</v>
      </c>
      <c r="R131" s="57" t="s">
        <v>14</v>
      </c>
    </row>
    <row r="132" spans="1:18">
      <c r="A132" s="21" t="s">
        <v>14</v>
      </c>
      <c r="B132" s="21" t="s">
        <v>31</v>
      </c>
      <c r="C132" s="21">
        <v>11</v>
      </c>
      <c r="D132" s="21" t="s">
        <v>300</v>
      </c>
      <c r="E132" s="21" t="s">
        <v>318</v>
      </c>
      <c r="F132" s="21"/>
      <c r="G132" s="21"/>
      <c r="H132" s="21"/>
      <c r="I132" s="21"/>
      <c r="J132" s="21"/>
      <c r="K132" s="21"/>
      <c r="L132" s="21"/>
      <c r="M132" s="21"/>
      <c r="N132" s="21" t="s">
        <v>97</v>
      </c>
      <c r="O132" s="21"/>
      <c r="P132" s="21"/>
      <c r="Q132" s="21"/>
      <c r="R132" s="20" t="s">
        <v>14</v>
      </c>
    </row>
    <row r="133" spans="1:18">
      <c r="A133" s="21" t="s">
        <v>14</v>
      </c>
      <c r="B133" s="21" t="s">
        <v>31</v>
      </c>
      <c r="C133" s="21">
        <v>11</v>
      </c>
      <c r="D133" s="21" t="s">
        <v>301</v>
      </c>
      <c r="E133" s="21" t="s">
        <v>318</v>
      </c>
      <c r="F133" s="21" t="s">
        <v>319</v>
      </c>
      <c r="G133" s="21"/>
      <c r="H133" s="21"/>
      <c r="I133" s="21"/>
      <c r="J133" s="21"/>
      <c r="K133" s="21"/>
      <c r="L133" s="21"/>
      <c r="M133" s="21" t="s">
        <v>74</v>
      </c>
      <c r="N133" s="21" t="s">
        <v>353</v>
      </c>
      <c r="O133" s="21"/>
      <c r="P133" s="21"/>
      <c r="Q133" s="21"/>
      <c r="R133" s="20" t="s">
        <v>14</v>
      </c>
    </row>
    <row r="134" spans="1:18" s="46" customFormat="1">
      <c r="A134" s="46" t="s">
        <v>14</v>
      </c>
      <c r="B134" s="46" t="s">
        <v>31</v>
      </c>
      <c r="C134" s="46">
        <v>11</v>
      </c>
      <c r="D134" s="46" t="s">
        <v>302</v>
      </c>
      <c r="E134" s="46" t="s">
        <v>317</v>
      </c>
      <c r="N134" s="46" t="s">
        <v>96</v>
      </c>
      <c r="R134" s="47" t="s">
        <v>14</v>
      </c>
    </row>
    <row r="135" spans="1:18">
      <c r="A135" s="21" t="s">
        <v>14</v>
      </c>
      <c r="B135" s="21" t="s">
        <v>31</v>
      </c>
      <c r="C135" s="21">
        <v>11</v>
      </c>
      <c r="D135" s="21" t="s">
        <v>303</v>
      </c>
      <c r="E135" s="21" t="s">
        <v>318</v>
      </c>
      <c r="F135" s="21"/>
      <c r="G135" s="21"/>
      <c r="H135" s="21"/>
      <c r="I135" s="21"/>
      <c r="J135" s="21"/>
      <c r="K135" s="21"/>
      <c r="L135" s="21"/>
      <c r="M135" s="21"/>
      <c r="N135" s="21" t="s">
        <v>96</v>
      </c>
      <c r="O135" s="21"/>
      <c r="P135" s="21"/>
      <c r="Q135" s="21"/>
      <c r="R135" s="20" t="s">
        <v>14</v>
      </c>
    </row>
    <row r="136" spans="1:18">
      <c r="A136" s="21" t="s">
        <v>14</v>
      </c>
      <c r="B136" s="21" t="s">
        <v>31</v>
      </c>
      <c r="C136" s="21">
        <v>11</v>
      </c>
      <c r="D136" s="21" t="s">
        <v>304</v>
      </c>
      <c r="E136" s="21" t="s">
        <v>318</v>
      </c>
      <c r="F136" s="21" t="s">
        <v>319</v>
      </c>
      <c r="G136" s="21"/>
      <c r="H136" s="21"/>
      <c r="I136" s="21"/>
      <c r="J136" s="21"/>
      <c r="K136" s="21"/>
      <c r="L136" s="21"/>
      <c r="M136" s="21" t="s">
        <v>74</v>
      </c>
      <c r="N136" s="21" t="s">
        <v>354</v>
      </c>
      <c r="O136" s="21"/>
      <c r="P136" s="21"/>
      <c r="Q136" s="21"/>
      <c r="R136" s="20" t="s">
        <v>14</v>
      </c>
    </row>
    <row r="137" spans="1:18" s="46" customFormat="1">
      <c r="A137" s="46" t="s">
        <v>14</v>
      </c>
      <c r="B137" s="46" t="s">
        <v>31</v>
      </c>
      <c r="C137" s="46">
        <v>11</v>
      </c>
      <c r="D137" s="46" t="s">
        <v>305</v>
      </c>
      <c r="E137" s="46" t="s">
        <v>317</v>
      </c>
      <c r="N137" s="46" t="s">
        <v>98</v>
      </c>
      <c r="R137" s="47" t="s">
        <v>14</v>
      </c>
    </row>
    <row r="138" spans="1:18">
      <c r="A138" s="21" t="s">
        <v>14</v>
      </c>
      <c r="B138" s="21" t="s">
        <v>31</v>
      </c>
      <c r="C138" s="21">
        <v>11</v>
      </c>
      <c r="D138" s="21" t="s">
        <v>306</v>
      </c>
      <c r="E138" s="21" t="s">
        <v>318</v>
      </c>
      <c r="F138" s="21"/>
      <c r="G138" s="21"/>
      <c r="H138" s="21"/>
      <c r="I138" s="21"/>
      <c r="J138" s="21"/>
      <c r="K138" s="21"/>
      <c r="L138" s="21"/>
      <c r="M138" s="21"/>
      <c r="N138" s="21" t="s">
        <v>98</v>
      </c>
      <c r="O138" s="21"/>
      <c r="P138" s="21"/>
      <c r="Q138" s="21"/>
      <c r="R138" s="20" t="s">
        <v>14</v>
      </c>
    </row>
    <row r="139" spans="1:18">
      <c r="A139" s="21" t="s">
        <v>14</v>
      </c>
      <c r="B139" s="21" t="s">
        <v>31</v>
      </c>
      <c r="C139" s="21">
        <v>11</v>
      </c>
      <c r="D139" s="21" t="s">
        <v>307</v>
      </c>
      <c r="E139" s="21" t="s">
        <v>318</v>
      </c>
      <c r="F139" s="21" t="s">
        <v>319</v>
      </c>
      <c r="G139" s="21"/>
      <c r="H139" s="21"/>
      <c r="I139" s="21"/>
      <c r="J139" s="21"/>
      <c r="K139" s="21"/>
      <c r="L139" s="21"/>
      <c r="M139" s="21" t="s">
        <v>74</v>
      </c>
      <c r="N139" s="21" t="s">
        <v>355</v>
      </c>
      <c r="O139" s="21"/>
      <c r="P139" s="21"/>
      <c r="Q139" s="21"/>
      <c r="R139" s="20" t="s">
        <v>14</v>
      </c>
    </row>
    <row r="140" spans="1:18" s="46" customFormat="1">
      <c r="A140" s="46" t="s">
        <v>14</v>
      </c>
      <c r="B140" s="46" t="s">
        <v>31</v>
      </c>
      <c r="C140" s="46">
        <v>11</v>
      </c>
      <c r="D140" s="46" t="s">
        <v>308</v>
      </c>
      <c r="E140" s="46" t="s">
        <v>317</v>
      </c>
      <c r="N140" s="46" t="s">
        <v>99</v>
      </c>
      <c r="R140" s="47" t="s">
        <v>14</v>
      </c>
    </row>
    <row r="141" spans="1:18">
      <c r="A141" s="21" t="s">
        <v>14</v>
      </c>
      <c r="B141" s="21" t="s">
        <v>31</v>
      </c>
      <c r="C141" s="21">
        <v>11</v>
      </c>
      <c r="D141" s="21" t="s">
        <v>309</v>
      </c>
      <c r="E141" s="21" t="s">
        <v>318</v>
      </c>
      <c r="F141" s="21"/>
      <c r="G141" s="21"/>
      <c r="H141" s="21"/>
      <c r="I141" s="21"/>
      <c r="J141" s="21"/>
      <c r="K141" s="21"/>
      <c r="L141" s="21"/>
      <c r="M141" s="21"/>
      <c r="N141" s="21" t="s">
        <v>99</v>
      </c>
      <c r="O141" s="21"/>
      <c r="P141" s="21"/>
      <c r="Q141" s="21"/>
      <c r="R141" s="20" t="s">
        <v>14</v>
      </c>
    </row>
    <row r="142" spans="1:18">
      <c r="A142" s="21" t="s">
        <v>14</v>
      </c>
      <c r="B142" s="21" t="s">
        <v>31</v>
      </c>
      <c r="C142" s="21">
        <v>11</v>
      </c>
      <c r="D142" s="21" t="s">
        <v>310</v>
      </c>
      <c r="E142" s="21" t="s">
        <v>318</v>
      </c>
      <c r="F142" s="21" t="s">
        <v>319</v>
      </c>
      <c r="G142" s="21"/>
      <c r="H142" s="21"/>
      <c r="I142" s="21"/>
      <c r="J142" s="21"/>
      <c r="K142" s="21"/>
      <c r="L142" s="21"/>
      <c r="M142" s="21" t="s">
        <v>74</v>
      </c>
      <c r="N142" s="21" t="s">
        <v>356</v>
      </c>
      <c r="O142" s="21"/>
      <c r="P142" s="21"/>
      <c r="Q142" s="21"/>
      <c r="R142" s="20" t="s">
        <v>14</v>
      </c>
    </row>
    <row r="143" spans="1:18" s="46" customFormat="1">
      <c r="A143" s="46" t="s">
        <v>14</v>
      </c>
      <c r="B143" s="46" t="s">
        <v>31</v>
      </c>
      <c r="C143" s="46">
        <v>11</v>
      </c>
      <c r="D143" s="46" t="s">
        <v>311</v>
      </c>
      <c r="E143" s="46" t="s">
        <v>317</v>
      </c>
      <c r="N143" s="46" t="s">
        <v>100</v>
      </c>
      <c r="R143" s="47" t="s">
        <v>14</v>
      </c>
    </row>
    <row r="144" spans="1:18">
      <c r="A144" s="21" t="s">
        <v>14</v>
      </c>
      <c r="B144" s="21" t="s">
        <v>31</v>
      </c>
      <c r="C144" s="21">
        <v>11</v>
      </c>
      <c r="D144" s="21" t="s">
        <v>312</v>
      </c>
      <c r="E144" s="21" t="s">
        <v>318</v>
      </c>
      <c r="F144" s="21"/>
      <c r="G144" s="21"/>
      <c r="H144" s="21"/>
      <c r="I144" s="21"/>
      <c r="J144" s="21"/>
      <c r="K144" s="21"/>
      <c r="L144" s="21"/>
      <c r="M144" s="21"/>
      <c r="N144" s="21" t="s">
        <v>100</v>
      </c>
      <c r="O144" s="21"/>
      <c r="P144" s="21"/>
      <c r="Q144" s="21"/>
      <c r="R144" s="20" t="s">
        <v>14</v>
      </c>
    </row>
    <row r="145" spans="1:18">
      <c r="A145" s="21" t="s">
        <v>14</v>
      </c>
      <c r="B145" s="21" t="s">
        <v>31</v>
      </c>
      <c r="C145" s="21">
        <v>11</v>
      </c>
      <c r="D145" s="21" t="s">
        <v>313</v>
      </c>
      <c r="E145" s="21" t="s">
        <v>318</v>
      </c>
      <c r="F145" s="21" t="s">
        <v>319</v>
      </c>
      <c r="G145" s="21"/>
      <c r="H145" s="21"/>
      <c r="I145" s="21"/>
      <c r="J145" s="21"/>
      <c r="K145" s="21"/>
      <c r="L145" s="21"/>
      <c r="M145" s="21" t="s">
        <v>74</v>
      </c>
      <c r="N145" s="21" t="s">
        <v>357</v>
      </c>
      <c r="O145" s="21"/>
      <c r="P145" s="21"/>
      <c r="Q145" s="21"/>
      <c r="R145" s="20" t="s">
        <v>14</v>
      </c>
    </row>
    <row r="146" spans="1:18" s="46" customFormat="1">
      <c r="A146" s="46" t="s">
        <v>14</v>
      </c>
      <c r="B146" s="46" t="s">
        <v>31</v>
      </c>
      <c r="C146" s="46">
        <v>11</v>
      </c>
      <c r="D146" s="46" t="s">
        <v>314</v>
      </c>
      <c r="E146" s="46" t="s">
        <v>317</v>
      </c>
      <c r="N146" s="46" t="s">
        <v>101</v>
      </c>
      <c r="R146" s="47" t="s">
        <v>14</v>
      </c>
    </row>
    <row r="147" spans="1:18">
      <c r="A147" s="21" t="s">
        <v>14</v>
      </c>
      <c r="B147" s="21" t="s">
        <v>31</v>
      </c>
      <c r="C147" s="21">
        <v>11</v>
      </c>
      <c r="D147" s="21" t="s">
        <v>315</v>
      </c>
      <c r="E147" s="21" t="s">
        <v>318</v>
      </c>
      <c r="F147" s="21"/>
      <c r="G147" s="21"/>
      <c r="H147" s="21"/>
      <c r="I147" s="21"/>
      <c r="J147" s="21"/>
      <c r="K147" s="21"/>
      <c r="L147" s="21"/>
      <c r="M147" s="21"/>
      <c r="N147" s="21" t="s">
        <v>101</v>
      </c>
      <c r="O147" s="21"/>
      <c r="P147" s="21"/>
      <c r="Q147" s="21"/>
      <c r="R147" s="20" t="s">
        <v>14</v>
      </c>
    </row>
    <row r="148" spans="1:18">
      <c r="A148" s="21" t="s">
        <v>14</v>
      </c>
      <c r="B148" s="21" t="s">
        <v>31</v>
      </c>
      <c r="C148" s="21">
        <v>11</v>
      </c>
      <c r="D148" s="21" t="s">
        <v>316</v>
      </c>
      <c r="E148" s="21" t="s">
        <v>318</v>
      </c>
      <c r="F148" s="21" t="s">
        <v>319</v>
      </c>
      <c r="G148" s="21"/>
      <c r="H148" s="21"/>
      <c r="I148" s="21"/>
      <c r="J148" s="21"/>
      <c r="K148" s="21"/>
      <c r="L148" s="21"/>
      <c r="M148" s="21" t="s">
        <v>74</v>
      </c>
      <c r="N148" s="21" t="s">
        <v>358</v>
      </c>
      <c r="O148" s="21"/>
      <c r="P148" s="21"/>
      <c r="Q148" s="21"/>
      <c r="R148" s="20" t="s">
        <v>14</v>
      </c>
    </row>
    <row r="149" spans="1:18" s="58" customFormat="1">
      <c r="A149" s="58" t="s">
        <v>14</v>
      </c>
      <c r="B149" s="58" t="s">
        <v>31</v>
      </c>
      <c r="C149" s="58">
        <v>11</v>
      </c>
      <c r="D149" s="58" t="s">
        <v>323</v>
      </c>
      <c r="E149" s="58" t="s">
        <v>320</v>
      </c>
      <c r="N149" s="58" t="s">
        <v>97</v>
      </c>
      <c r="R149" s="59" t="s">
        <v>14</v>
      </c>
    </row>
    <row r="150" spans="1:18">
      <c r="A150" s="21" t="s">
        <v>14</v>
      </c>
      <c r="B150" s="21" t="s">
        <v>31</v>
      </c>
      <c r="C150" s="21">
        <v>11</v>
      </c>
      <c r="D150" s="21" t="s">
        <v>324</v>
      </c>
      <c r="E150" s="21" t="s">
        <v>321</v>
      </c>
      <c r="F150" s="21"/>
      <c r="G150" s="21"/>
      <c r="H150" s="21"/>
      <c r="I150" s="21"/>
      <c r="J150" s="21"/>
      <c r="K150" s="21"/>
      <c r="L150" s="21"/>
      <c r="M150" s="21"/>
      <c r="N150" s="21" t="s">
        <v>97</v>
      </c>
      <c r="O150" s="21"/>
      <c r="P150" s="21"/>
      <c r="Q150" s="21"/>
      <c r="R150" s="20" t="s">
        <v>14</v>
      </c>
    </row>
    <row r="151" spans="1:18">
      <c r="A151" s="21" t="s">
        <v>14</v>
      </c>
      <c r="B151" s="21" t="s">
        <v>31</v>
      </c>
      <c r="C151" s="21">
        <v>11</v>
      </c>
      <c r="D151" s="21" t="s">
        <v>325</v>
      </c>
      <c r="E151" s="21" t="s">
        <v>321</v>
      </c>
      <c r="F151" s="21" t="s">
        <v>322</v>
      </c>
      <c r="G151" s="21"/>
      <c r="H151" s="21"/>
      <c r="I151" s="21"/>
      <c r="J151" s="21"/>
      <c r="K151" s="21"/>
      <c r="L151" s="21"/>
      <c r="M151" s="21" t="s">
        <v>74</v>
      </c>
      <c r="N151" s="21" t="s">
        <v>353</v>
      </c>
      <c r="O151" s="21"/>
      <c r="P151" s="21"/>
      <c r="Q151" s="21"/>
      <c r="R151" s="20" t="s">
        <v>14</v>
      </c>
    </row>
    <row r="152" spans="1:18" s="46" customFormat="1">
      <c r="A152" s="46" t="s">
        <v>14</v>
      </c>
      <c r="B152" s="46" t="s">
        <v>31</v>
      </c>
      <c r="C152" s="46">
        <v>11</v>
      </c>
      <c r="D152" s="46" t="s">
        <v>326</v>
      </c>
      <c r="E152" s="46" t="s">
        <v>320</v>
      </c>
      <c r="N152" s="46" t="s">
        <v>96</v>
      </c>
      <c r="R152" s="47" t="s">
        <v>14</v>
      </c>
    </row>
    <row r="153" spans="1:18">
      <c r="A153" s="21" t="s">
        <v>14</v>
      </c>
      <c r="B153" s="21" t="s">
        <v>31</v>
      </c>
      <c r="C153" s="21">
        <v>11</v>
      </c>
      <c r="D153" s="21" t="s">
        <v>327</v>
      </c>
      <c r="E153" s="21" t="s">
        <v>321</v>
      </c>
      <c r="F153" s="21"/>
      <c r="G153" s="21"/>
      <c r="H153" s="21"/>
      <c r="I153" s="21"/>
      <c r="J153" s="21"/>
      <c r="K153" s="21"/>
      <c r="L153" s="21"/>
      <c r="M153" s="21"/>
      <c r="N153" s="21" t="s">
        <v>96</v>
      </c>
      <c r="O153" s="21"/>
      <c r="P153" s="21"/>
      <c r="Q153" s="21"/>
      <c r="R153" s="20" t="s">
        <v>14</v>
      </c>
    </row>
    <row r="154" spans="1:18">
      <c r="A154" s="21" t="s">
        <v>14</v>
      </c>
      <c r="B154" s="21" t="s">
        <v>31</v>
      </c>
      <c r="C154" s="21">
        <v>11</v>
      </c>
      <c r="D154" s="21" t="s">
        <v>328</v>
      </c>
      <c r="E154" s="21" t="s">
        <v>321</v>
      </c>
      <c r="F154" s="21" t="s">
        <v>322</v>
      </c>
      <c r="G154" s="21"/>
      <c r="H154" s="21"/>
      <c r="I154" s="21"/>
      <c r="J154" s="21"/>
      <c r="K154" s="21"/>
      <c r="L154" s="21"/>
      <c r="M154" s="21" t="s">
        <v>74</v>
      </c>
      <c r="N154" s="21" t="s">
        <v>354</v>
      </c>
      <c r="O154" s="21"/>
      <c r="P154" s="21"/>
      <c r="Q154" s="21"/>
      <c r="R154" s="20" t="s">
        <v>14</v>
      </c>
    </row>
    <row r="155" spans="1:18" s="46" customFormat="1">
      <c r="A155" s="46" t="s">
        <v>14</v>
      </c>
      <c r="B155" s="46" t="s">
        <v>31</v>
      </c>
      <c r="C155" s="46">
        <v>11</v>
      </c>
      <c r="D155" s="46" t="s">
        <v>329</v>
      </c>
      <c r="E155" s="46" t="s">
        <v>320</v>
      </c>
      <c r="N155" s="46" t="s">
        <v>98</v>
      </c>
      <c r="R155" s="47" t="s">
        <v>14</v>
      </c>
    </row>
    <row r="156" spans="1:18">
      <c r="A156" s="21" t="s">
        <v>14</v>
      </c>
      <c r="B156" s="21" t="s">
        <v>31</v>
      </c>
      <c r="C156" s="21">
        <v>11</v>
      </c>
      <c r="D156" s="21" t="s">
        <v>330</v>
      </c>
      <c r="E156" s="21" t="s">
        <v>321</v>
      </c>
      <c r="F156" s="21"/>
      <c r="G156" s="21"/>
      <c r="H156" s="21"/>
      <c r="I156" s="21"/>
      <c r="J156" s="21"/>
      <c r="K156" s="21"/>
      <c r="L156" s="21"/>
      <c r="M156" s="21"/>
      <c r="N156" s="21" t="s">
        <v>98</v>
      </c>
      <c r="O156" s="21"/>
      <c r="P156" s="21"/>
      <c r="Q156" s="21"/>
      <c r="R156" s="20" t="s">
        <v>14</v>
      </c>
    </row>
    <row r="157" spans="1:18">
      <c r="A157" s="21" t="s">
        <v>14</v>
      </c>
      <c r="B157" s="21" t="s">
        <v>31</v>
      </c>
      <c r="C157" s="21">
        <v>11</v>
      </c>
      <c r="D157" s="21" t="s">
        <v>331</v>
      </c>
      <c r="E157" s="21" t="s">
        <v>321</v>
      </c>
      <c r="F157" s="21" t="s">
        <v>322</v>
      </c>
      <c r="G157" s="21"/>
      <c r="H157" s="21"/>
      <c r="I157" s="21"/>
      <c r="J157" s="21"/>
      <c r="K157" s="21"/>
      <c r="L157" s="21"/>
      <c r="M157" s="21" t="s">
        <v>74</v>
      </c>
      <c r="N157" s="21" t="s">
        <v>355</v>
      </c>
      <c r="O157" s="21"/>
      <c r="P157" s="21"/>
      <c r="Q157" s="21"/>
      <c r="R157" s="20" t="s">
        <v>14</v>
      </c>
    </row>
    <row r="158" spans="1:18" s="46" customFormat="1">
      <c r="A158" s="46" t="s">
        <v>14</v>
      </c>
      <c r="B158" s="46" t="s">
        <v>31</v>
      </c>
      <c r="C158" s="46">
        <v>11</v>
      </c>
      <c r="D158" s="46" t="s">
        <v>332</v>
      </c>
      <c r="E158" s="46" t="s">
        <v>320</v>
      </c>
      <c r="N158" s="46" t="s">
        <v>99</v>
      </c>
      <c r="R158" s="47" t="s">
        <v>14</v>
      </c>
    </row>
    <row r="159" spans="1:18">
      <c r="A159" s="21" t="s">
        <v>14</v>
      </c>
      <c r="B159" s="21" t="s">
        <v>31</v>
      </c>
      <c r="C159" s="21">
        <v>11</v>
      </c>
      <c r="D159" s="21" t="s">
        <v>333</v>
      </c>
      <c r="E159" s="21" t="s">
        <v>321</v>
      </c>
      <c r="F159" s="21"/>
      <c r="G159" s="21"/>
      <c r="H159" s="21"/>
      <c r="I159" s="21"/>
      <c r="J159" s="21"/>
      <c r="K159" s="21"/>
      <c r="L159" s="21"/>
      <c r="M159" s="21"/>
      <c r="N159" s="21" t="s">
        <v>99</v>
      </c>
      <c r="O159" s="21"/>
      <c r="P159" s="21"/>
      <c r="Q159" s="21"/>
      <c r="R159" s="20" t="s">
        <v>14</v>
      </c>
    </row>
    <row r="160" spans="1:18">
      <c r="A160" s="21" t="s">
        <v>14</v>
      </c>
      <c r="B160" s="21" t="s">
        <v>31</v>
      </c>
      <c r="C160" s="21">
        <v>11</v>
      </c>
      <c r="D160" s="21" t="s">
        <v>334</v>
      </c>
      <c r="E160" s="21" t="s">
        <v>321</v>
      </c>
      <c r="F160" s="21" t="s">
        <v>322</v>
      </c>
      <c r="G160" s="21"/>
      <c r="H160" s="21"/>
      <c r="I160" s="21"/>
      <c r="J160" s="21"/>
      <c r="K160" s="21"/>
      <c r="L160" s="21"/>
      <c r="M160" s="21" t="s">
        <v>74</v>
      </c>
      <c r="N160" s="21" t="s">
        <v>356</v>
      </c>
      <c r="O160" s="21"/>
      <c r="P160" s="21"/>
      <c r="Q160" s="21"/>
      <c r="R160" s="20" t="s">
        <v>14</v>
      </c>
    </row>
    <row r="161" spans="1:18" s="46" customFormat="1">
      <c r="A161" s="46" t="s">
        <v>14</v>
      </c>
      <c r="B161" s="46" t="s">
        <v>31</v>
      </c>
      <c r="C161" s="46">
        <v>11</v>
      </c>
      <c r="D161" s="46" t="s">
        <v>335</v>
      </c>
      <c r="E161" s="46" t="s">
        <v>320</v>
      </c>
      <c r="N161" s="46" t="s">
        <v>100</v>
      </c>
      <c r="R161" s="47" t="s">
        <v>14</v>
      </c>
    </row>
    <row r="162" spans="1:18">
      <c r="A162" s="21" t="s">
        <v>14</v>
      </c>
      <c r="B162" s="21" t="s">
        <v>31</v>
      </c>
      <c r="C162" s="21">
        <v>11</v>
      </c>
      <c r="D162" s="21" t="s">
        <v>336</v>
      </c>
      <c r="E162" s="21" t="s">
        <v>321</v>
      </c>
      <c r="F162" s="21"/>
      <c r="G162" s="21"/>
      <c r="H162" s="21"/>
      <c r="I162" s="21"/>
      <c r="J162" s="21"/>
      <c r="K162" s="21"/>
      <c r="L162" s="21"/>
      <c r="M162" s="21"/>
      <c r="N162" s="21" t="s">
        <v>100</v>
      </c>
      <c r="O162" s="21"/>
      <c r="P162" s="21"/>
      <c r="Q162" s="21"/>
      <c r="R162" s="20" t="s">
        <v>14</v>
      </c>
    </row>
    <row r="163" spans="1:18">
      <c r="A163" s="21" t="s">
        <v>14</v>
      </c>
      <c r="B163" s="21" t="s">
        <v>31</v>
      </c>
      <c r="C163" s="21">
        <v>11</v>
      </c>
      <c r="D163" s="21" t="s">
        <v>337</v>
      </c>
      <c r="E163" s="21" t="s">
        <v>321</v>
      </c>
      <c r="F163" s="21" t="s">
        <v>322</v>
      </c>
      <c r="G163" s="21"/>
      <c r="H163" s="21"/>
      <c r="I163" s="21"/>
      <c r="J163" s="21"/>
      <c r="K163" s="21"/>
      <c r="L163" s="21"/>
      <c r="M163" s="21" t="s">
        <v>74</v>
      </c>
      <c r="N163" s="21" t="s">
        <v>357</v>
      </c>
      <c r="O163" s="21"/>
      <c r="P163" s="21"/>
      <c r="Q163" s="21"/>
      <c r="R163" s="20" t="s">
        <v>14</v>
      </c>
    </row>
    <row r="164" spans="1:18" s="46" customFormat="1">
      <c r="A164" s="46" t="s">
        <v>14</v>
      </c>
      <c r="B164" s="46" t="s">
        <v>31</v>
      </c>
      <c r="C164" s="46">
        <v>11</v>
      </c>
      <c r="D164" s="46" t="s">
        <v>338</v>
      </c>
      <c r="E164" s="46" t="s">
        <v>320</v>
      </c>
      <c r="N164" s="46" t="s">
        <v>101</v>
      </c>
      <c r="R164" s="47" t="s">
        <v>14</v>
      </c>
    </row>
    <row r="165" spans="1:18">
      <c r="A165" s="21" t="s">
        <v>14</v>
      </c>
      <c r="B165" s="21" t="s">
        <v>31</v>
      </c>
      <c r="C165" s="21">
        <v>11</v>
      </c>
      <c r="D165" s="21" t="s">
        <v>339</v>
      </c>
      <c r="E165" s="21" t="s">
        <v>321</v>
      </c>
      <c r="F165" s="21"/>
      <c r="G165" s="21"/>
      <c r="H165" s="21"/>
      <c r="I165" s="21"/>
      <c r="J165" s="21"/>
      <c r="K165" s="21"/>
      <c r="L165" s="21"/>
      <c r="M165" s="21"/>
      <c r="N165" s="21" t="s">
        <v>101</v>
      </c>
      <c r="O165" s="21"/>
      <c r="P165" s="21"/>
      <c r="Q165" s="21"/>
      <c r="R165" s="20" t="s">
        <v>14</v>
      </c>
    </row>
    <row r="166" spans="1:18" ht="15.75" customHeight="1">
      <c r="A166" s="21" t="s">
        <v>14</v>
      </c>
      <c r="B166" s="21" t="s">
        <v>31</v>
      </c>
      <c r="C166" s="21">
        <v>11</v>
      </c>
      <c r="D166" s="21" t="s">
        <v>340</v>
      </c>
      <c r="E166" s="21" t="s">
        <v>321</v>
      </c>
      <c r="F166" s="21" t="s">
        <v>322</v>
      </c>
      <c r="G166" s="21"/>
      <c r="H166" s="21"/>
      <c r="I166" s="21"/>
      <c r="J166" s="21"/>
      <c r="K166" s="21"/>
      <c r="L166" s="21"/>
      <c r="M166" s="21" t="s">
        <v>74</v>
      </c>
      <c r="N166" s="21" t="s">
        <v>358</v>
      </c>
      <c r="O166" s="21"/>
      <c r="P166" s="21"/>
      <c r="Q166" s="21"/>
      <c r="R166" s="20" t="s">
        <v>14</v>
      </c>
    </row>
    <row r="167" spans="1:18" s="58" customFormat="1">
      <c r="A167" s="58" t="s">
        <v>14</v>
      </c>
      <c r="B167" s="58" t="s">
        <v>31</v>
      </c>
      <c r="C167" s="58">
        <v>11</v>
      </c>
      <c r="D167" s="58" t="s">
        <v>341</v>
      </c>
      <c r="E167" s="58" t="s">
        <v>159</v>
      </c>
      <c r="N167" s="58" t="s">
        <v>139</v>
      </c>
      <c r="R167" s="59" t="s">
        <v>14</v>
      </c>
    </row>
    <row r="168" spans="1:18">
      <c r="A168" s="21" t="s">
        <v>14</v>
      </c>
      <c r="B168" s="21" t="s">
        <v>31</v>
      </c>
      <c r="C168" s="21">
        <v>11</v>
      </c>
      <c r="D168" s="21" t="s">
        <v>342</v>
      </c>
      <c r="E168" s="21" t="s">
        <v>161</v>
      </c>
      <c r="F168" s="21"/>
      <c r="G168" s="21"/>
      <c r="H168" s="21"/>
      <c r="I168" s="21"/>
      <c r="J168" s="21"/>
      <c r="K168" s="21"/>
      <c r="L168" s="21"/>
      <c r="M168" s="21" t="s">
        <v>108</v>
      </c>
      <c r="N168" s="21" t="s">
        <v>139</v>
      </c>
      <c r="O168" s="21"/>
      <c r="P168" s="21"/>
      <c r="Q168" s="21"/>
      <c r="R168" s="20" t="s">
        <v>14</v>
      </c>
    </row>
    <row r="169" spans="1:18">
      <c r="A169" s="21" t="s">
        <v>14</v>
      </c>
      <c r="B169" s="21" t="s">
        <v>31</v>
      </c>
      <c r="C169" s="21">
        <v>11</v>
      </c>
      <c r="D169" s="21" t="s">
        <v>343</v>
      </c>
      <c r="E169" s="21" t="s">
        <v>161</v>
      </c>
      <c r="F169" s="21" t="s">
        <v>160</v>
      </c>
      <c r="G169" s="21"/>
      <c r="H169" s="21"/>
      <c r="I169" s="21"/>
      <c r="J169" s="21"/>
      <c r="K169" s="21"/>
      <c r="L169" s="21"/>
      <c r="M169" s="21" t="s">
        <v>74</v>
      </c>
      <c r="N169" s="21" t="s">
        <v>140</v>
      </c>
      <c r="O169" s="21"/>
      <c r="P169" s="21"/>
      <c r="Q169" s="21"/>
      <c r="R169" s="20" t="s">
        <v>14</v>
      </c>
    </row>
    <row r="170" spans="1:18" s="46" customFormat="1">
      <c r="A170" s="46" t="s">
        <v>14</v>
      </c>
      <c r="B170" s="46" t="s">
        <v>31</v>
      </c>
      <c r="C170" s="46">
        <v>11</v>
      </c>
      <c r="D170" s="46" t="s">
        <v>344</v>
      </c>
      <c r="E170" s="46" t="s">
        <v>170</v>
      </c>
      <c r="N170" s="46" t="s">
        <v>139</v>
      </c>
      <c r="R170" s="47" t="s">
        <v>14</v>
      </c>
    </row>
    <row r="171" spans="1:18">
      <c r="A171" s="21" t="s">
        <v>14</v>
      </c>
      <c r="B171" s="21" t="s">
        <v>31</v>
      </c>
      <c r="C171" s="21">
        <v>11</v>
      </c>
      <c r="D171" s="21" t="s">
        <v>345</v>
      </c>
      <c r="E171" s="21" t="s">
        <v>171</v>
      </c>
      <c r="F171" s="21"/>
      <c r="G171" s="21"/>
      <c r="H171" s="21"/>
      <c r="I171" s="21"/>
      <c r="J171" s="21"/>
      <c r="K171" s="21"/>
      <c r="L171" s="21"/>
      <c r="M171" s="21" t="s">
        <v>108</v>
      </c>
      <c r="N171" s="21" t="s">
        <v>139</v>
      </c>
      <c r="O171" s="21"/>
      <c r="P171" s="21"/>
      <c r="Q171" s="21"/>
      <c r="R171" s="20" t="s">
        <v>14</v>
      </c>
    </row>
    <row r="172" spans="1:18">
      <c r="A172" s="21" t="s">
        <v>14</v>
      </c>
      <c r="B172" s="21" t="s">
        <v>31</v>
      </c>
      <c r="C172" s="21">
        <v>11</v>
      </c>
      <c r="D172" s="21" t="s">
        <v>346</v>
      </c>
      <c r="E172" s="21" t="s">
        <v>171</v>
      </c>
      <c r="F172" s="21" t="s">
        <v>172</v>
      </c>
      <c r="G172" s="21"/>
      <c r="H172" s="21"/>
      <c r="I172" s="21"/>
      <c r="J172" s="21"/>
      <c r="K172" s="21"/>
      <c r="L172" s="21"/>
      <c r="M172" s="21" t="s">
        <v>74</v>
      </c>
      <c r="N172" s="21" t="s">
        <v>140</v>
      </c>
      <c r="O172" s="21"/>
      <c r="P172" s="21"/>
      <c r="Q172" s="21"/>
      <c r="R172" s="20" t="s">
        <v>14</v>
      </c>
    </row>
    <row r="173" spans="1:18" s="58" customFormat="1">
      <c r="A173" s="58" t="s">
        <v>14</v>
      </c>
      <c r="B173" s="58" t="s">
        <v>31</v>
      </c>
      <c r="C173" s="58">
        <v>12</v>
      </c>
      <c r="D173" s="58" t="s">
        <v>347</v>
      </c>
      <c r="E173" s="58" t="s">
        <v>317</v>
      </c>
      <c r="N173" s="58" t="s">
        <v>95</v>
      </c>
      <c r="R173" s="59" t="s">
        <v>14</v>
      </c>
    </row>
    <row r="174" spans="1:18">
      <c r="A174" s="21" t="s">
        <v>14</v>
      </c>
      <c r="B174" s="21" t="s">
        <v>31</v>
      </c>
      <c r="C174" s="21">
        <v>12</v>
      </c>
      <c r="D174" s="21" t="s">
        <v>348</v>
      </c>
      <c r="E174" s="21" t="s">
        <v>318</v>
      </c>
      <c r="F174" s="21"/>
      <c r="G174" s="21"/>
      <c r="H174" s="21"/>
      <c r="I174" s="21"/>
      <c r="J174" s="21"/>
      <c r="K174" s="21"/>
      <c r="L174" s="21"/>
      <c r="M174" s="21" t="s">
        <v>108</v>
      </c>
      <c r="N174" s="21" t="s">
        <v>95</v>
      </c>
      <c r="O174" s="21"/>
      <c r="P174" s="21"/>
      <c r="Q174" s="21"/>
      <c r="R174" s="20" t="s">
        <v>14</v>
      </c>
    </row>
    <row r="175" spans="1:18">
      <c r="A175" s="21" t="s">
        <v>14</v>
      </c>
      <c r="B175" s="21" t="s">
        <v>31</v>
      </c>
      <c r="C175" s="21">
        <v>12</v>
      </c>
      <c r="D175" s="21" t="s">
        <v>349</v>
      </c>
      <c r="E175" s="21" t="s">
        <v>318</v>
      </c>
      <c r="F175" s="21" t="s">
        <v>319</v>
      </c>
      <c r="G175" s="21"/>
      <c r="H175" s="21"/>
      <c r="I175" s="21"/>
      <c r="J175" s="21"/>
      <c r="K175" s="21"/>
      <c r="L175" s="21"/>
      <c r="M175" s="21" t="s">
        <v>74</v>
      </c>
      <c r="N175" s="21" t="s">
        <v>359</v>
      </c>
      <c r="O175" s="21"/>
      <c r="P175" s="21"/>
      <c r="Q175" s="21"/>
      <c r="R175" s="20" t="s">
        <v>14</v>
      </c>
    </row>
    <row r="176" spans="1:18" s="46" customFormat="1">
      <c r="A176" s="46" t="s">
        <v>14</v>
      </c>
      <c r="B176" s="46" t="s">
        <v>31</v>
      </c>
      <c r="C176" s="46">
        <v>12</v>
      </c>
      <c r="D176" s="46" t="s">
        <v>350</v>
      </c>
      <c r="E176" s="46" t="s">
        <v>320</v>
      </c>
      <c r="N176" s="46" t="s">
        <v>95</v>
      </c>
      <c r="R176" s="47" t="s">
        <v>14</v>
      </c>
    </row>
    <row r="177" spans="1:18">
      <c r="A177" s="21" t="s">
        <v>14</v>
      </c>
      <c r="B177" s="21" t="s">
        <v>31</v>
      </c>
      <c r="C177" s="21">
        <v>12</v>
      </c>
      <c r="D177" s="21" t="s">
        <v>351</v>
      </c>
      <c r="E177" s="21" t="s">
        <v>321</v>
      </c>
      <c r="F177" s="21"/>
      <c r="G177" s="21"/>
      <c r="H177" s="21"/>
      <c r="I177" s="21"/>
      <c r="J177" s="21"/>
      <c r="K177" s="21"/>
      <c r="L177" s="21"/>
      <c r="M177" s="21" t="s">
        <v>108</v>
      </c>
      <c r="N177" s="21" t="s">
        <v>95</v>
      </c>
      <c r="O177" s="21"/>
      <c r="P177" s="21"/>
      <c r="Q177" s="21"/>
      <c r="R177" s="20" t="s">
        <v>14</v>
      </c>
    </row>
    <row r="178" spans="1:18">
      <c r="A178" s="21" t="s">
        <v>14</v>
      </c>
      <c r="B178" s="21" t="s">
        <v>31</v>
      </c>
      <c r="C178" s="21">
        <v>12</v>
      </c>
      <c r="D178" s="21" t="s">
        <v>352</v>
      </c>
      <c r="E178" s="21" t="s">
        <v>321</v>
      </c>
      <c r="F178" s="21" t="s">
        <v>322</v>
      </c>
      <c r="G178" s="21"/>
      <c r="H178" s="21"/>
      <c r="I178" s="21"/>
      <c r="J178" s="21"/>
      <c r="K178" s="21"/>
      <c r="L178" s="21"/>
      <c r="M178" s="21" t="s">
        <v>74</v>
      </c>
      <c r="N178" s="21" t="s">
        <v>359</v>
      </c>
      <c r="O178" s="21"/>
      <c r="P178" s="21"/>
      <c r="Q178" s="21"/>
      <c r="R178" s="20" t="s">
        <v>14</v>
      </c>
    </row>
    <row r="179" spans="1:18" s="56" customFormat="1">
      <c r="A179" s="56" t="s">
        <v>14</v>
      </c>
      <c r="B179" s="56" t="s">
        <v>31</v>
      </c>
      <c r="C179" s="56">
        <v>13</v>
      </c>
      <c r="D179" s="56" t="s">
        <v>347</v>
      </c>
      <c r="E179" s="56" t="s">
        <v>320</v>
      </c>
      <c r="N179" s="56" t="s">
        <v>361</v>
      </c>
      <c r="R179" s="57" t="s">
        <v>14</v>
      </c>
    </row>
    <row r="180" spans="1:18">
      <c r="A180" s="21" t="s">
        <v>14</v>
      </c>
      <c r="B180" s="21" t="s">
        <v>31</v>
      </c>
      <c r="C180" s="21">
        <v>13</v>
      </c>
      <c r="D180" s="21" t="s">
        <v>348</v>
      </c>
      <c r="E180" s="21" t="s">
        <v>321</v>
      </c>
      <c r="F180" s="21"/>
      <c r="G180" s="21"/>
      <c r="H180" s="21"/>
      <c r="I180" s="21"/>
      <c r="J180" s="21"/>
      <c r="K180" s="21"/>
      <c r="L180" s="21"/>
      <c r="M180" s="21" t="s">
        <v>108</v>
      </c>
      <c r="N180" s="21" t="s">
        <v>361</v>
      </c>
      <c r="O180" s="21"/>
      <c r="P180" s="21"/>
      <c r="Q180" s="21"/>
      <c r="R180" s="20" t="s">
        <v>14</v>
      </c>
    </row>
    <row r="181" spans="1:18">
      <c r="A181" s="21" t="s">
        <v>14</v>
      </c>
      <c r="B181" s="21" t="s">
        <v>31</v>
      </c>
      <c r="C181" s="21">
        <v>13</v>
      </c>
      <c r="D181" s="21" t="s">
        <v>349</v>
      </c>
      <c r="E181" s="21" t="s">
        <v>321</v>
      </c>
      <c r="F181" s="21" t="s">
        <v>322</v>
      </c>
      <c r="G181" s="21"/>
      <c r="H181" s="21"/>
      <c r="I181" s="21"/>
      <c r="J181" s="21"/>
      <c r="K181" s="21"/>
      <c r="L181" s="21"/>
      <c r="M181" s="21" t="s">
        <v>74</v>
      </c>
      <c r="N181" s="21" t="s">
        <v>362</v>
      </c>
      <c r="O181" s="21"/>
      <c r="P181" s="21"/>
      <c r="Q181" s="21"/>
      <c r="R181" s="20" t="s">
        <v>14</v>
      </c>
    </row>
    <row r="182" spans="1:18" s="58" customFormat="1">
      <c r="A182" s="58" t="s">
        <v>14</v>
      </c>
      <c r="B182" s="58" t="s">
        <v>31</v>
      </c>
      <c r="C182" s="58">
        <v>13</v>
      </c>
      <c r="D182" s="58" t="s">
        <v>323</v>
      </c>
      <c r="E182" s="58" t="s">
        <v>317</v>
      </c>
      <c r="N182" s="58" t="s">
        <v>141</v>
      </c>
      <c r="R182" s="59" t="s">
        <v>14</v>
      </c>
    </row>
    <row r="183" spans="1:18">
      <c r="A183" s="21" t="s">
        <v>14</v>
      </c>
      <c r="B183" s="21" t="s">
        <v>31</v>
      </c>
      <c r="C183" s="21">
        <v>13</v>
      </c>
      <c r="D183" s="21" t="s">
        <v>324</v>
      </c>
      <c r="E183" s="21" t="s">
        <v>318</v>
      </c>
      <c r="F183" s="21"/>
      <c r="G183" s="21"/>
      <c r="H183" s="21"/>
      <c r="I183" s="21"/>
      <c r="J183" s="21"/>
      <c r="K183" s="21"/>
      <c r="L183" s="21"/>
      <c r="M183" s="21" t="s">
        <v>108</v>
      </c>
      <c r="N183" s="21" t="s">
        <v>141</v>
      </c>
      <c r="O183" s="21"/>
      <c r="P183" s="21"/>
      <c r="Q183" s="21"/>
      <c r="R183" s="20" t="s">
        <v>14</v>
      </c>
    </row>
    <row r="184" spans="1:18">
      <c r="A184" s="21" t="s">
        <v>14</v>
      </c>
      <c r="B184" s="21" t="s">
        <v>31</v>
      </c>
      <c r="C184" s="21">
        <v>13</v>
      </c>
      <c r="D184" s="21" t="s">
        <v>325</v>
      </c>
      <c r="E184" s="21" t="s">
        <v>318</v>
      </c>
      <c r="F184" s="21" t="s">
        <v>319</v>
      </c>
      <c r="G184" s="21"/>
      <c r="H184" s="21"/>
      <c r="I184" s="21"/>
      <c r="J184" s="21"/>
      <c r="K184" s="21"/>
      <c r="L184" s="21"/>
      <c r="M184" s="21" t="s">
        <v>74</v>
      </c>
      <c r="N184" s="21" t="s">
        <v>375</v>
      </c>
      <c r="O184" s="21"/>
      <c r="P184" s="21"/>
      <c r="Q184" s="21"/>
      <c r="R184" s="20" t="s">
        <v>14</v>
      </c>
    </row>
    <row r="185" spans="1:18" s="46" customFormat="1">
      <c r="A185" s="46" t="s">
        <v>14</v>
      </c>
      <c r="B185" s="46" t="s">
        <v>31</v>
      </c>
      <c r="C185" s="46">
        <v>13</v>
      </c>
      <c r="D185" s="46" t="s">
        <v>326</v>
      </c>
      <c r="E185" s="46" t="s">
        <v>320</v>
      </c>
      <c r="N185" s="46" t="s">
        <v>141</v>
      </c>
      <c r="R185" s="47" t="s">
        <v>14</v>
      </c>
    </row>
    <row r="186" spans="1:18">
      <c r="A186" s="21" t="s">
        <v>14</v>
      </c>
      <c r="B186" s="21" t="s">
        <v>31</v>
      </c>
      <c r="C186" s="21">
        <v>13</v>
      </c>
      <c r="D186" s="21" t="s">
        <v>327</v>
      </c>
      <c r="E186" s="21" t="s">
        <v>321</v>
      </c>
      <c r="F186" s="21"/>
      <c r="G186" s="21"/>
      <c r="H186" s="21"/>
      <c r="I186" s="21"/>
      <c r="J186" s="21"/>
      <c r="K186" s="21"/>
      <c r="L186" s="21"/>
      <c r="M186" s="21" t="s">
        <v>108</v>
      </c>
      <c r="N186" s="21" t="s">
        <v>141</v>
      </c>
      <c r="O186" s="21"/>
      <c r="P186" s="21"/>
      <c r="Q186" s="21"/>
      <c r="R186" s="20" t="s">
        <v>14</v>
      </c>
    </row>
    <row r="187" spans="1:18">
      <c r="A187" s="21" t="s">
        <v>14</v>
      </c>
      <c r="B187" s="21" t="s">
        <v>31</v>
      </c>
      <c r="C187" s="21">
        <v>13</v>
      </c>
      <c r="D187" s="21" t="s">
        <v>328</v>
      </c>
      <c r="E187" s="21" t="s">
        <v>321</v>
      </c>
      <c r="F187" s="21" t="s">
        <v>322</v>
      </c>
      <c r="G187" s="21"/>
      <c r="H187" s="21"/>
      <c r="I187" s="21"/>
      <c r="J187" s="21"/>
      <c r="K187" s="21"/>
      <c r="L187" s="21"/>
      <c r="M187" s="21" t="s">
        <v>74</v>
      </c>
      <c r="N187" s="21" t="s">
        <v>375</v>
      </c>
      <c r="O187" s="21"/>
      <c r="P187" s="21"/>
      <c r="Q187" s="21"/>
      <c r="R187" s="20" t="s">
        <v>14</v>
      </c>
    </row>
    <row r="188" spans="1:18" s="58" customFormat="1">
      <c r="A188" s="58" t="s">
        <v>14</v>
      </c>
      <c r="B188" s="58" t="s">
        <v>31</v>
      </c>
      <c r="C188" s="58">
        <v>13</v>
      </c>
      <c r="D188" s="58" t="s">
        <v>341</v>
      </c>
      <c r="E188" s="58" t="s">
        <v>317</v>
      </c>
      <c r="N188" s="58" t="s">
        <v>102</v>
      </c>
      <c r="R188" s="59" t="s">
        <v>14</v>
      </c>
    </row>
    <row r="189" spans="1:18">
      <c r="A189" s="21" t="s">
        <v>14</v>
      </c>
      <c r="B189" s="21" t="s">
        <v>31</v>
      </c>
      <c r="C189" s="21">
        <v>13</v>
      </c>
      <c r="D189" s="21" t="s">
        <v>342</v>
      </c>
      <c r="E189" s="21" t="s">
        <v>318</v>
      </c>
      <c r="F189" s="21"/>
      <c r="G189" s="21"/>
      <c r="H189" s="21"/>
      <c r="I189" s="21"/>
      <c r="J189" s="21"/>
      <c r="K189" s="21"/>
      <c r="L189" s="21"/>
      <c r="M189" s="21" t="s">
        <v>108</v>
      </c>
      <c r="N189" s="21" t="s">
        <v>102</v>
      </c>
      <c r="O189" s="21"/>
      <c r="P189" s="21"/>
      <c r="Q189" s="21"/>
      <c r="R189" s="20" t="s">
        <v>14</v>
      </c>
    </row>
    <row r="190" spans="1:18">
      <c r="A190" s="21" t="s">
        <v>14</v>
      </c>
      <c r="B190" s="21" t="s">
        <v>31</v>
      </c>
      <c r="C190" s="21">
        <v>13</v>
      </c>
      <c r="D190" s="21" t="s">
        <v>343</v>
      </c>
      <c r="E190" s="21" t="s">
        <v>318</v>
      </c>
      <c r="F190" s="21" t="s">
        <v>319</v>
      </c>
      <c r="G190" s="21"/>
      <c r="H190" s="21"/>
      <c r="I190" s="21"/>
      <c r="J190" s="21"/>
      <c r="K190" s="21"/>
      <c r="L190" s="21"/>
      <c r="M190" s="21" t="s">
        <v>74</v>
      </c>
      <c r="N190" s="21" t="s">
        <v>360</v>
      </c>
      <c r="O190" s="21"/>
      <c r="P190" s="21"/>
      <c r="Q190" s="21"/>
      <c r="R190" s="20" t="s">
        <v>14</v>
      </c>
    </row>
    <row r="191" spans="1:18" s="46" customFormat="1">
      <c r="A191" s="46" t="s">
        <v>14</v>
      </c>
      <c r="B191" s="46" t="s">
        <v>31</v>
      </c>
      <c r="C191" s="46">
        <v>13</v>
      </c>
      <c r="D191" s="46" t="s">
        <v>344</v>
      </c>
      <c r="E191" s="46" t="s">
        <v>320</v>
      </c>
      <c r="N191" s="46" t="s">
        <v>102</v>
      </c>
      <c r="R191" s="47" t="s">
        <v>14</v>
      </c>
    </row>
    <row r="192" spans="1:18">
      <c r="A192" s="21" t="s">
        <v>14</v>
      </c>
      <c r="B192" s="21" t="s">
        <v>31</v>
      </c>
      <c r="C192" s="21">
        <v>13</v>
      </c>
      <c r="D192" s="21" t="s">
        <v>345</v>
      </c>
      <c r="E192" s="21" t="s">
        <v>321</v>
      </c>
      <c r="F192" s="21"/>
      <c r="G192" s="21"/>
      <c r="H192" s="21"/>
      <c r="I192" s="21"/>
      <c r="J192" s="21"/>
      <c r="K192" s="21"/>
      <c r="L192" s="21"/>
      <c r="M192" s="21" t="s">
        <v>108</v>
      </c>
      <c r="N192" s="21" t="s">
        <v>102</v>
      </c>
      <c r="O192" s="21"/>
      <c r="P192" s="21"/>
      <c r="Q192" s="21"/>
      <c r="R192" s="20" t="s">
        <v>14</v>
      </c>
    </row>
    <row r="193" spans="1:18">
      <c r="A193" s="21" t="s">
        <v>14</v>
      </c>
      <c r="B193" s="21" t="s">
        <v>31</v>
      </c>
      <c r="C193" s="21">
        <v>13</v>
      </c>
      <c r="D193" s="21" t="s">
        <v>346</v>
      </c>
      <c r="E193" s="21" t="s">
        <v>321</v>
      </c>
      <c r="F193" s="21" t="s">
        <v>322</v>
      </c>
      <c r="G193" s="21"/>
      <c r="H193" s="21"/>
      <c r="I193" s="21"/>
      <c r="J193" s="21"/>
      <c r="K193" s="21"/>
      <c r="L193" s="21"/>
      <c r="M193" s="21" t="s">
        <v>74</v>
      </c>
      <c r="N193" s="21" t="s">
        <v>360</v>
      </c>
      <c r="O193" s="21"/>
      <c r="P193" s="21"/>
      <c r="Q193" s="21"/>
      <c r="R193" s="20" t="s">
        <v>14</v>
      </c>
    </row>
    <row r="194" spans="1:18" s="58" customFormat="1">
      <c r="A194" s="58" t="s">
        <v>14</v>
      </c>
      <c r="B194" s="58" t="s">
        <v>31</v>
      </c>
      <c r="C194" s="58">
        <v>13</v>
      </c>
      <c r="D194" s="58" t="s">
        <v>363</v>
      </c>
      <c r="E194" s="58" t="s">
        <v>159</v>
      </c>
      <c r="N194" s="58" t="s">
        <v>104</v>
      </c>
      <c r="R194" s="59" t="s">
        <v>14</v>
      </c>
    </row>
    <row r="195" spans="1:18">
      <c r="A195" s="21" t="s">
        <v>14</v>
      </c>
      <c r="B195" s="21" t="s">
        <v>31</v>
      </c>
      <c r="C195" s="21">
        <v>13</v>
      </c>
      <c r="D195" s="21" t="s">
        <v>364</v>
      </c>
      <c r="E195" s="21" t="s">
        <v>161</v>
      </c>
      <c r="F195" s="21"/>
      <c r="G195" s="21"/>
      <c r="H195" s="21"/>
      <c r="I195" s="21"/>
      <c r="J195" s="21"/>
      <c r="K195" s="21"/>
      <c r="L195" s="21"/>
      <c r="M195" s="21" t="s">
        <v>108</v>
      </c>
      <c r="N195" s="21" t="s">
        <v>104</v>
      </c>
      <c r="O195" s="21"/>
      <c r="P195" s="21"/>
      <c r="Q195" s="21"/>
      <c r="R195" s="20" t="s">
        <v>14</v>
      </c>
    </row>
    <row r="196" spans="1:18">
      <c r="A196" s="21" t="s">
        <v>14</v>
      </c>
      <c r="B196" s="21" t="s">
        <v>31</v>
      </c>
      <c r="C196" s="21">
        <v>13</v>
      </c>
      <c r="D196" s="21" t="s">
        <v>365</v>
      </c>
      <c r="E196" s="21" t="s">
        <v>161</v>
      </c>
      <c r="F196" s="21" t="s">
        <v>160</v>
      </c>
      <c r="G196" s="21"/>
      <c r="H196" s="21"/>
      <c r="I196" s="21"/>
      <c r="J196" s="21"/>
      <c r="K196" s="21"/>
      <c r="L196" s="21"/>
      <c r="M196" s="21" t="s">
        <v>74</v>
      </c>
      <c r="N196" s="21" t="s">
        <v>105</v>
      </c>
      <c r="O196" s="21"/>
      <c r="P196" s="21"/>
      <c r="Q196" s="21"/>
      <c r="R196" s="20" t="s">
        <v>14</v>
      </c>
    </row>
    <row r="197" spans="1:18" s="46" customFormat="1">
      <c r="A197" s="46" t="s">
        <v>14</v>
      </c>
      <c r="B197" s="46" t="s">
        <v>31</v>
      </c>
      <c r="C197" s="46">
        <v>13</v>
      </c>
      <c r="D197" s="46" t="s">
        <v>366</v>
      </c>
      <c r="E197" s="46" t="s">
        <v>170</v>
      </c>
      <c r="N197" s="46" t="s">
        <v>104</v>
      </c>
      <c r="R197" s="47" t="s">
        <v>14</v>
      </c>
    </row>
    <row r="198" spans="1:18">
      <c r="A198" s="21" t="s">
        <v>14</v>
      </c>
      <c r="B198" s="21" t="s">
        <v>31</v>
      </c>
      <c r="C198" s="21">
        <v>13</v>
      </c>
      <c r="D198" s="21" t="s">
        <v>367</v>
      </c>
      <c r="E198" s="21" t="s">
        <v>171</v>
      </c>
      <c r="F198" s="21"/>
      <c r="G198" s="21"/>
      <c r="H198" s="21"/>
      <c r="I198" s="21"/>
      <c r="J198" s="21"/>
      <c r="K198" s="21"/>
      <c r="L198" s="21"/>
      <c r="M198" s="21" t="s">
        <v>108</v>
      </c>
      <c r="N198" s="21" t="s">
        <v>104</v>
      </c>
      <c r="O198" s="21"/>
      <c r="P198" s="21"/>
      <c r="Q198" s="21"/>
      <c r="R198" s="20" t="s">
        <v>14</v>
      </c>
    </row>
    <row r="199" spans="1:18">
      <c r="A199" s="21" t="s">
        <v>14</v>
      </c>
      <c r="B199" s="21" t="s">
        <v>31</v>
      </c>
      <c r="C199" s="21">
        <v>13</v>
      </c>
      <c r="D199" s="21" t="s">
        <v>368</v>
      </c>
      <c r="E199" s="21" t="s">
        <v>171</v>
      </c>
      <c r="F199" s="21" t="s">
        <v>172</v>
      </c>
      <c r="G199" s="21"/>
      <c r="H199" s="21"/>
      <c r="I199" s="21"/>
      <c r="J199" s="21"/>
      <c r="K199" s="21"/>
      <c r="L199" s="21"/>
      <c r="M199" s="21" t="s">
        <v>74</v>
      </c>
      <c r="N199" s="21" t="s">
        <v>105</v>
      </c>
      <c r="O199" s="21"/>
      <c r="P199" s="21"/>
      <c r="Q199" s="21"/>
      <c r="R199" s="20" t="s">
        <v>14</v>
      </c>
    </row>
    <row r="200" spans="1:18" s="58" customFormat="1">
      <c r="A200" s="58" t="s">
        <v>14</v>
      </c>
      <c r="B200" s="58" t="s">
        <v>31</v>
      </c>
      <c r="C200" s="58">
        <v>13</v>
      </c>
      <c r="D200" s="58" t="s">
        <v>369</v>
      </c>
      <c r="E200" s="58" t="s">
        <v>159</v>
      </c>
      <c r="N200" s="58" t="s">
        <v>106</v>
      </c>
      <c r="R200" s="59" t="s">
        <v>14</v>
      </c>
    </row>
    <row r="201" spans="1:18">
      <c r="A201" s="21" t="s">
        <v>14</v>
      </c>
      <c r="B201" s="21" t="s">
        <v>31</v>
      </c>
      <c r="C201" s="21">
        <v>13</v>
      </c>
      <c r="D201" s="21" t="s">
        <v>370</v>
      </c>
      <c r="E201" s="21" t="s">
        <v>161</v>
      </c>
      <c r="F201" s="21"/>
      <c r="G201" s="21"/>
      <c r="H201" s="21"/>
      <c r="I201" s="21"/>
      <c r="J201" s="21"/>
      <c r="K201" s="21"/>
      <c r="L201" s="21"/>
      <c r="M201" s="21" t="s">
        <v>108</v>
      </c>
      <c r="N201" s="21" t="s">
        <v>106</v>
      </c>
      <c r="O201" s="21"/>
      <c r="P201" s="21"/>
      <c r="Q201" s="21"/>
      <c r="R201" s="20" t="s">
        <v>14</v>
      </c>
    </row>
    <row r="202" spans="1:18">
      <c r="A202" s="21" t="s">
        <v>14</v>
      </c>
      <c r="B202" s="21" t="s">
        <v>31</v>
      </c>
      <c r="C202" s="21">
        <v>13</v>
      </c>
      <c r="D202" s="21" t="s">
        <v>371</v>
      </c>
      <c r="E202" s="21" t="s">
        <v>161</v>
      </c>
      <c r="F202" s="21" t="s">
        <v>160</v>
      </c>
      <c r="G202" s="21"/>
      <c r="H202" s="21"/>
      <c r="I202" s="21"/>
      <c r="J202" s="21"/>
      <c r="K202" s="21"/>
      <c r="L202" s="21"/>
      <c r="M202" s="21" t="s">
        <v>74</v>
      </c>
      <c r="N202" s="21" t="s">
        <v>107</v>
      </c>
      <c r="O202" s="21"/>
      <c r="P202" s="21"/>
      <c r="Q202" s="21"/>
      <c r="R202" s="20" t="s">
        <v>14</v>
      </c>
    </row>
    <row r="203" spans="1:18" s="46" customFormat="1">
      <c r="A203" s="46" t="s">
        <v>14</v>
      </c>
      <c r="B203" s="46" t="s">
        <v>31</v>
      </c>
      <c r="C203" s="46">
        <v>13</v>
      </c>
      <c r="D203" s="46" t="s">
        <v>372</v>
      </c>
      <c r="E203" s="46" t="s">
        <v>170</v>
      </c>
      <c r="N203" s="46" t="s">
        <v>106</v>
      </c>
      <c r="R203" s="47" t="s">
        <v>14</v>
      </c>
    </row>
    <row r="204" spans="1:18">
      <c r="A204" s="21" t="s">
        <v>14</v>
      </c>
      <c r="B204" s="21" t="s">
        <v>31</v>
      </c>
      <c r="C204" s="21">
        <v>13</v>
      </c>
      <c r="D204" s="21" t="s">
        <v>373</v>
      </c>
      <c r="E204" s="21" t="s">
        <v>171</v>
      </c>
      <c r="F204" s="21"/>
      <c r="G204" s="21"/>
      <c r="H204" s="21"/>
      <c r="I204" s="21"/>
      <c r="J204" s="21"/>
      <c r="K204" s="21"/>
      <c r="L204" s="21"/>
      <c r="M204" s="21" t="s">
        <v>108</v>
      </c>
      <c r="N204" s="21" t="s">
        <v>106</v>
      </c>
      <c r="O204" s="21"/>
      <c r="P204" s="21"/>
      <c r="Q204" s="21"/>
      <c r="R204" s="20" t="s">
        <v>14</v>
      </c>
    </row>
    <row r="205" spans="1:18">
      <c r="A205" s="21" t="s">
        <v>14</v>
      </c>
      <c r="B205" s="21" t="s">
        <v>31</v>
      </c>
      <c r="C205" s="21">
        <v>13</v>
      </c>
      <c r="D205" s="21" t="s">
        <v>374</v>
      </c>
      <c r="E205" s="21" t="s">
        <v>171</v>
      </c>
      <c r="F205" s="21" t="s">
        <v>172</v>
      </c>
      <c r="G205" s="21"/>
      <c r="H205" s="21"/>
      <c r="I205" s="21"/>
      <c r="J205" s="21"/>
      <c r="K205" s="21"/>
      <c r="L205" s="21"/>
      <c r="M205" s="21" t="s">
        <v>74</v>
      </c>
      <c r="N205" s="21" t="s">
        <v>107</v>
      </c>
      <c r="O205" s="21"/>
      <c r="P205" s="21"/>
      <c r="Q205" s="21"/>
      <c r="R205" s="20" t="s">
        <v>14</v>
      </c>
    </row>
    <row r="206" spans="1:18" s="56" customFormat="1">
      <c r="A206" s="56" t="s">
        <v>14</v>
      </c>
      <c r="B206" s="56" t="s">
        <v>376</v>
      </c>
      <c r="C206" s="56">
        <v>24</v>
      </c>
      <c r="D206" s="56" t="s">
        <v>93</v>
      </c>
      <c r="E206" s="56" t="s">
        <v>381</v>
      </c>
      <c r="G206" s="56" t="s">
        <v>382</v>
      </c>
      <c r="M206" s="56" t="s">
        <v>379</v>
      </c>
      <c r="N206" s="56" t="s">
        <v>380</v>
      </c>
      <c r="P206" s="56" t="s">
        <v>383</v>
      </c>
      <c r="Q206" s="56" t="s">
        <v>103</v>
      </c>
      <c r="R206" s="57" t="s">
        <v>14</v>
      </c>
    </row>
    <row r="207" spans="1:18">
      <c r="A207" s="21" t="s">
        <v>14</v>
      </c>
      <c r="B207" s="21" t="s">
        <v>377</v>
      </c>
      <c r="C207" s="21">
        <v>24</v>
      </c>
      <c r="D207" s="21" t="s">
        <v>93</v>
      </c>
      <c r="E207" s="21" t="s">
        <v>381</v>
      </c>
      <c r="F207" s="21"/>
      <c r="G207" s="21"/>
      <c r="H207" s="21"/>
      <c r="I207" s="21"/>
      <c r="J207" s="21"/>
      <c r="K207" s="21"/>
      <c r="L207" s="21"/>
      <c r="M207" s="21" t="s">
        <v>379</v>
      </c>
      <c r="N207" s="21" t="s">
        <v>109</v>
      </c>
      <c r="O207" s="21">
        <v>2</v>
      </c>
      <c r="P207" s="21">
        <v>5</v>
      </c>
      <c r="Q207" s="21" t="s">
        <v>378</v>
      </c>
      <c r="R207" s="20" t="s">
        <v>14</v>
      </c>
    </row>
  </sheetData>
  <autoFilter ref="A1:R181" xr:uid="{00000000-0009-0000-0000-000003000000}"/>
  <sortState xmlns:xlrd2="http://schemas.microsoft.com/office/spreadsheetml/2017/richdata2" ref="G131:G181">
    <sortCondition ref="G131:G181"/>
  </sortState>
  <phoneticPr fontId="5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4</vt:i4>
      </vt:variant>
    </vt:vector>
  </HeadingPairs>
  <TitlesOfParts>
    <vt:vector size="12" baseType="lpstr">
      <vt:lpstr>Accueil</vt:lpstr>
      <vt:lpstr>Options</vt:lpstr>
      <vt:lpstr>REF Region</vt:lpstr>
      <vt:lpstr>REF Country</vt:lpstr>
      <vt:lpstr>REF Store</vt:lpstr>
      <vt:lpstr>Erreur</vt:lpstr>
      <vt:lpstr>C_Instore_Region</vt:lpstr>
      <vt:lpstr>C_All_Zone</vt:lpstr>
      <vt:lpstr>Accueil!ANNEE</vt:lpstr>
      <vt:lpstr>Accueil!FILE_PROG</vt:lpstr>
      <vt:lpstr>mDebug</vt:lpstr>
      <vt:lpstr>Accueil!PATH_FILE</vt:lpstr>
    </vt:vector>
  </TitlesOfParts>
  <Company>Nestlé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FRCouturSy</dc:creator>
  <cp:lastModifiedBy>David CARRERE</cp:lastModifiedBy>
  <dcterms:created xsi:type="dcterms:W3CDTF">2011-06-17T09:06:47Z</dcterms:created>
  <dcterms:modified xsi:type="dcterms:W3CDTF">2024-09-24T10:59:41Z</dcterms:modified>
</cp:coreProperties>
</file>